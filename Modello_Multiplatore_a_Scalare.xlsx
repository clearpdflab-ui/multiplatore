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re_Coperture" sheetId="1" state="visible" r:id="rId1"/>
    <sheet xmlns:r="http://schemas.openxmlformats.org/officeDocument/2006/relationships" name="Tabelle" sheetId="2" state="visible" r:id="rId2"/>
    <sheet xmlns:r="http://schemas.openxmlformats.org/officeDocument/2006/relationships" name="Simulazione" sheetId="3" state="visible" r:id="rId3"/>
    <sheet xmlns:r="http://schemas.openxmlformats.org/officeDocument/2006/relationships" name="Assicurazione" sheetId="4" state="visible" r:id="rId4"/>
    <sheet xmlns:r="http://schemas.openxmlformats.org/officeDocument/2006/relationships" name="Tutte_Situazioni" sheetId="5" state="visible" r:id="rId5"/>
    <sheet xmlns:r="http://schemas.openxmlformats.org/officeDocument/2006/relationships" name="Form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%"/>
    <numFmt numFmtId="167" formatCode="0.000000"/>
  </numFmts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0070C0"/>
      <sz val="10"/>
    </font>
    <font>
      <b val="1"/>
      <color rgb="001F3864"/>
      <sz val="11"/>
    </font>
    <font>
      <b val="1"/>
      <color rgb="00FFFFFF"/>
      <sz val="11"/>
    </font>
    <font>
      <b val="1"/>
    </font>
    <font>
      <b val="1"/>
      <color rgb="00006100"/>
      <sz val="11"/>
    </font>
    <font>
      <color rgb="000070C0"/>
      <sz val="10"/>
    </font>
    <font>
      <b val="1"/>
      <color rgb="00C00000"/>
      <sz val="12"/>
    </font>
    <font>
      <i val="1"/>
      <color rgb="000070C0"/>
    </font>
    <font>
      <b val="1"/>
      <color rgb="000070C0"/>
    </font>
    <font>
      <color rgb="000070C0"/>
    </font>
    <font>
      <i val="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" fontId="0" fillId="4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MULTIPLATORE A SCALARE - 15 EVENTI</t>
        </is>
      </c>
    </row>
    <row r="2">
      <c r="A2" s="2" t="inlineStr">
        <is>
          <t>Under 3.5=1.32 | Over 3.5=3.0 | Exchange=2.75 | Target=45 | Bonus su 5+ eventi | PRODOTTO (non somma)</t>
        </is>
      </c>
    </row>
    <row r="4">
      <c r="A4" s="3" t="inlineStr">
        <is>
          <t>QUOTE EVENTI</t>
        </is>
      </c>
    </row>
    <row r="5">
      <c r="A5" s="4" t="inlineStr">
        <is>
          <t>Evento</t>
        </is>
      </c>
      <c r="B5" s="4" t="inlineStr">
        <is>
          <t>Under 3,5</t>
        </is>
      </c>
      <c r="C5" s="4" t="inlineStr">
        <is>
          <t>Over 3,5</t>
        </is>
      </c>
    </row>
    <row r="6">
      <c r="A6" s="5" t="inlineStr">
        <is>
          <t>E1</t>
        </is>
      </c>
      <c r="B6" s="6" t="n">
        <v>1.32</v>
      </c>
      <c r="C6" s="6" t="n">
        <v>3</v>
      </c>
    </row>
    <row r="7">
      <c r="A7" s="5" t="inlineStr">
        <is>
          <t>E2</t>
        </is>
      </c>
      <c r="B7" s="6" t="n">
        <v>1.32</v>
      </c>
      <c r="C7" s="6" t="n">
        <v>3</v>
      </c>
    </row>
    <row r="8">
      <c r="A8" s="5" t="inlineStr">
        <is>
          <t>E3</t>
        </is>
      </c>
      <c r="B8" s="6" t="n">
        <v>1.32</v>
      </c>
      <c r="C8" s="6" t="n">
        <v>3</v>
      </c>
    </row>
    <row r="9">
      <c r="A9" s="5" t="inlineStr">
        <is>
          <t>E4</t>
        </is>
      </c>
      <c r="B9" s="6" t="n">
        <v>1.32</v>
      </c>
      <c r="C9" s="6" t="n">
        <v>3</v>
      </c>
    </row>
    <row r="10">
      <c r="A10" s="5" t="inlineStr">
        <is>
          <t>E5</t>
        </is>
      </c>
      <c r="B10" s="6" t="n">
        <v>1.32</v>
      </c>
      <c r="C10" s="6" t="n">
        <v>3</v>
      </c>
    </row>
    <row r="11">
      <c r="A11" s="5" t="inlineStr">
        <is>
          <t>E6</t>
        </is>
      </c>
      <c r="B11" s="6" t="n">
        <v>1.32</v>
      </c>
      <c r="C11" s="6" t="n">
        <v>3</v>
      </c>
    </row>
    <row r="12">
      <c r="A12" s="5" t="inlineStr">
        <is>
          <t>E7</t>
        </is>
      </c>
      <c r="B12" s="6" t="n">
        <v>1.32</v>
      </c>
      <c r="C12" s="6" t="n">
        <v>3</v>
      </c>
    </row>
    <row r="13">
      <c r="A13" s="5" t="inlineStr">
        <is>
          <t>E8</t>
        </is>
      </c>
      <c r="B13" s="6" t="n">
        <v>1.32</v>
      </c>
      <c r="C13" s="6" t="n">
        <v>3</v>
      </c>
    </row>
    <row r="14">
      <c r="A14" s="5" t="inlineStr">
        <is>
          <t>E9</t>
        </is>
      </c>
      <c r="B14" s="6" t="n">
        <v>1.32</v>
      </c>
      <c r="C14" s="6" t="n">
        <v>3</v>
      </c>
    </row>
    <row r="15">
      <c r="A15" s="5" t="inlineStr">
        <is>
          <t>E10</t>
        </is>
      </c>
      <c r="B15" s="6" t="n">
        <v>1.32</v>
      </c>
      <c r="C15" s="6" t="n">
        <v>3</v>
      </c>
    </row>
    <row r="16">
      <c r="A16" s="5" t="inlineStr">
        <is>
          <t>E11</t>
        </is>
      </c>
      <c r="B16" s="6" t="n">
        <v>1.32</v>
      </c>
      <c r="C16" s="6" t="n">
        <v>3</v>
      </c>
    </row>
    <row r="17">
      <c r="A17" s="5" t="inlineStr">
        <is>
          <t>E12</t>
        </is>
      </c>
      <c r="B17" s="6" t="n">
        <v>1.32</v>
      </c>
      <c r="C17" s="6" t="n">
        <v>3</v>
      </c>
    </row>
    <row r="18">
      <c r="A18" s="5" t="inlineStr">
        <is>
          <t>E13</t>
        </is>
      </c>
      <c r="B18" s="6" t="n">
        <v>1.32</v>
      </c>
      <c r="C18" s="6" t="n">
        <v>3</v>
      </c>
    </row>
    <row r="19">
      <c r="A19" s="5" t="inlineStr">
        <is>
          <t>E14</t>
        </is>
      </c>
      <c r="B19" s="6" t="n">
        <v>1.32</v>
      </c>
      <c r="C19" s="6" t="n">
        <v>3</v>
      </c>
    </row>
    <row r="20">
      <c r="A20" s="5" t="inlineStr">
        <is>
          <t>E15</t>
        </is>
      </c>
      <c r="B20" s="6" t="n">
        <v>1.32</v>
      </c>
      <c r="C20" s="6" t="n">
        <v>3</v>
      </c>
    </row>
    <row r="23">
      <c r="A23" s="3" t="inlineStr">
        <is>
          <t>MADRE INIZIALE (15 eventi UNDER) + COPERTURE</t>
        </is>
      </c>
    </row>
    <row r="24">
      <c r="A24" s="4" t="inlineStr">
        <is>
          <t>Step</t>
        </is>
      </c>
      <c r="B24" s="4" t="inlineStr">
        <is>
          <t>N_pendente</t>
        </is>
      </c>
      <c r="C24" s="4" t="inlineStr">
        <is>
          <t>Prodotto_raw</t>
        </is>
      </c>
      <c r="D24" s="4" t="inlineStr">
        <is>
          <t>Bonus_%</t>
        </is>
      </c>
      <c r="E24" s="4" t="inlineStr">
        <is>
          <t>Molt._finale</t>
        </is>
      </c>
      <c r="F24" s="4" t="inlineStr">
        <is>
          <t>Stake</t>
        </is>
      </c>
      <c r="G24" s="4" t="inlineStr">
        <is>
          <t>Spesa_cum</t>
        </is>
      </c>
      <c r="H24" s="4" t="inlineStr">
        <is>
          <t>Lordo</t>
        </is>
      </c>
      <c r="I24" s="4" t="inlineStr">
        <is>
          <t>Netto</t>
        </is>
      </c>
    </row>
    <row r="25">
      <c r="A25" s="7" t="inlineStr">
        <is>
          <t>Madre S0</t>
        </is>
      </c>
      <c r="B25" s="8" t="n">
        <v>15</v>
      </c>
      <c r="C25" s="9">
        <f>1.32^B25</f>
        <v/>
      </c>
      <c r="D25" s="10" t="n">
        <v>89.8</v>
      </c>
      <c r="E25" s="9">
        <f>C25*(1+D25/100)</f>
        <v/>
      </c>
      <c r="F25" s="8" t="n">
        <v>2</v>
      </c>
      <c r="G25" s="8">
        <f>F25</f>
        <v/>
      </c>
      <c r="H25" s="8">
        <f>F25*E25</f>
        <v/>
      </c>
      <c r="I25" s="8">
        <f>H25-G25</f>
        <v/>
      </c>
    </row>
    <row r="26">
      <c r="A26" s="5" t="inlineStr">
        <is>
          <t>Coper. 1</t>
        </is>
      </c>
      <c r="B26" s="6" t="n">
        <v>14</v>
      </c>
      <c r="C26" s="11">
        <f>1.32^B26</f>
        <v/>
      </c>
      <c r="D26" s="12" t="n">
        <v>79.09999999999999</v>
      </c>
      <c r="E26" s="11">
        <f>C26*(1+D26/100)</f>
        <v/>
      </c>
      <c r="F26" s="6">
        <f>ROUNDUP((G25+45)/(E26-1)/0.5,0)*0.5</f>
        <v/>
      </c>
      <c r="G26" s="6">
        <f>G25+F26</f>
        <v/>
      </c>
      <c r="H26" s="6">
        <f>F26*E26</f>
        <v/>
      </c>
      <c r="I26" s="6">
        <f>H26-G26</f>
        <v/>
      </c>
    </row>
    <row r="27">
      <c r="A27" s="5" t="inlineStr">
        <is>
          <t>Coper. 2</t>
        </is>
      </c>
      <c r="B27" s="6" t="n">
        <v>13</v>
      </c>
      <c r="C27" s="11">
        <f>1.32^B27</f>
        <v/>
      </c>
      <c r="D27" s="12" t="n">
        <v>68.90000000000001</v>
      </c>
      <c r="E27" s="11">
        <f>C27*(1+D27/100)</f>
        <v/>
      </c>
      <c r="F27" s="6">
        <f>ROUNDUP((G26+45)/(E27-1)/0.5,0)*0.5</f>
        <v/>
      </c>
      <c r="G27" s="6">
        <f>G26+F27</f>
        <v/>
      </c>
      <c r="H27" s="6">
        <f>F27*E27</f>
        <v/>
      </c>
      <c r="I27" s="6">
        <f>H27-G27</f>
        <v/>
      </c>
    </row>
    <row r="28">
      <c r="A28" s="5" t="inlineStr">
        <is>
          <t>Coper. 3</t>
        </is>
      </c>
      <c r="B28" s="6" t="n">
        <v>12</v>
      </c>
      <c r="C28" s="11">
        <f>1.32^B28</f>
        <v/>
      </c>
      <c r="D28" s="12" t="n">
        <v>59.4</v>
      </c>
      <c r="E28" s="11">
        <f>C28*(1+D28/100)</f>
        <v/>
      </c>
      <c r="F28" s="6">
        <f>ROUNDUP((G27+45)/(E28-1)/0.5,0)*0.5</f>
        <v/>
      </c>
      <c r="G28" s="6">
        <f>G27+F28</f>
        <v/>
      </c>
      <c r="H28" s="6">
        <f>F28*E28</f>
        <v/>
      </c>
      <c r="I28" s="6">
        <f>H28-G28</f>
        <v/>
      </c>
    </row>
    <row r="29">
      <c r="A29" s="5" t="inlineStr">
        <is>
          <t>Coper. 4</t>
        </is>
      </c>
      <c r="B29" s="6" t="n">
        <v>11</v>
      </c>
      <c r="C29" s="11">
        <f>1.32^B29</f>
        <v/>
      </c>
      <c r="D29" s="12" t="n">
        <v>50.4</v>
      </c>
      <c r="E29" s="11">
        <f>C29*(1+D29/100)</f>
        <v/>
      </c>
      <c r="F29" s="6">
        <f>ROUNDUP((G28+45)/(E29-1)/0.5,0)*0.5</f>
        <v/>
      </c>
      <c r="G29" s="6">
        <f>G28+F29</f>
        <v/>
      </c>
      <c r="H29" s="6">
        <f>F29*E29</f>
        <v/>
      </c>
      <c r="I29" s="6">
        <f>H29-G29</f>
        <v/>
      </c>
    </row>
    <row r="30">
      <c r="A30" s="5" t="inlineStr">
        <is>
          <t>Coper. 5</t>
        </is>
      </c>
      <c r="B30" s="6" t="n">
        <v>10</v>
      </c>
      <c r="C30" s="11">
        <f>1.32^B30</f>
        <v/>
      </c>
      <c r="D30" s="12" t="n">
        <v>41.9</v>
      </c>
      <c r="E30" s="11">
        <f>C30*(1+D30/100)</f>
        <v/>
      </c>
      <c r="F30" s="6">
        <f>ROUNDUP((G29+45)/(E30-1)/0.5,0)*0.5</f>
        <v/>
      </c>
      <c r="G30" s="6">
        <f>G29+F30</f>
        <v/>
      </c>
      <c r="H30" s="6">
        <f>F30*E30</f>
        <v/>
      </c>
      <c r="I30" s="6">
        <f>H30-G30</f>
        <v/>
      </c>
    </row>
    <row r="31">
      <c r="A31" s="5" t="inlineStr">
        <is>
          <t>Coper. 6</t>
        </is>
      </c>
      <c r="B31" s="6" t="n">
        <v>9</v>
      </c>
      <c r="C31" s="11">
        <f>1.32^B31</f>
        <v/>
      </c>
      <c r="D31" s="12" t="n">
        <v>33.8</v>
      </c>
      <c r="E31" s="11">
        <f>C31*(1+D31/100)</f>
        <v/>
      </c>
      <c r="F31" s="6">
        <f>ROUNDUP((G30+45)/(E31-1)/0.5,0)*0.5</f>
        <v/>
      </c>
      <c r="G31" s="6">
        <f>G30+F31</f>
        <v/>
      </c>
      <c r="H31" s="6">
        <f>F31*E31</f>
        <v/>
      </c>
      <c r="I31" s="6">
        <f>H31-G31</f>
        <v/>
      </c>
    </row>
    <row r="32">
      <c r="A32" s="5" t="inlineStr">
        <is>
          <t>Coper. 7</t>
        </is>
      </c>
      <c r="B32" s="6" t="n">
        <v>8</v>
      </c>
      <c r="C32" s="11">
        <f>1.32^B32</f>
        <v/>
      </c>
      <c r="D32" s="12" t="n">
        <v>26.2</v>
      </c>
      <c r="E32" s="11">
        <f>C32*(1+D32/100)</f>
        <v/>
      </c>
      <c r="F32" s="6">
        <f>ROUNDUP((G31+45)/(E32-1)/0.5,0)*0.5</f>
        <v/>
      </c>
      <c r="G32" s="6">
        <f>G31+F32</f>
        <v/>
      </c>
      <c r="H32" s="6">
        <f>F32*E32</f>
        <v/>
      </c>
      <c r="I32" s="6">
        <f>H32-G32</f>
        <v/>
      </c>
    </row>
    <row r="33">
      <c r="A33" s="5" t="inlineStr">
        <is>
          <t>Coper. 8</t>
        </is>
      </c>
      <c r="B33" s="6" t="n">
        <v>7</v>
      </c>
      <c r="C33" s="11">
        <f>1.32^B33</f>
        <v/>
      </c>
      <c r="D33" s="12" t="n">
        <v>19.1</v>
      </c>
      <c r="E33" s="11">
        <f>C33*(1+D33/100)</f>
        <v/>
      </c>
      <c r="F33" s="6">
        <f>ROUNDUP((G32+45)/(E33-1)/0.5,0)*0.5</f>
        <v/>
      </c>
      <c r="G33" s="6">
        <f>G32+F33</f>
        <v/>
      </c>
      <c r="H33" s="6">
        <f>F33*E33</f>
        <v/>
      </c>
      <c r="I33" s="6">
        <f>H33-G33</f>
        <v/>
      </c>
    </row>
    <row r="34">
      <c r="A34" s="5" t="inlineStr">
        <is>
          <t>Coper. 9</t>
        </is>
      </c>
      <c r="B34" s="6" t="n">
        <v>6</v>
      </c>
      <c r="C34" s="11">
        <f>1.32^B34</f>
        <v/>
      </c>
      <c r="D34" s="12" t="n">
        <v>12.4</v>
      </c>
      <c r="E34" s="11">
        <f>C34*(1+D34/100)</f>
        <v/>
      </c>
      <c r="F34" s="6">
        <f>ROUNDUP((G33+45)/(E34-1)/0.5,0)*0.5</f>
        <v/>
      </c>
      <c r="G34" s="6">
        <f>G33+F34</f>
        <v/>
      </c>
      <c r="H34" s="6">
        <f>F34*E34</f>
        <v/>
      </c>
      <c r="I34" s="6">
        <f>H34-G34</f>
        <v/>
      </c>
    </row>
    <row r="35">
      <c r="A35" s="5" t="inlineStr">
        <is>
          <t>Coper. 10</t>
        </is>
      </c>
      <c r="B35" s="6" t="n">
        <v>5</v>
      </c>
      <c r="C35" s="11">
        <f>1.32^B35</f>
        <v/>
      </c>
      <c r="D35" s="12" t="n">
        <v>6</v>
      </c>
      <c r="E35" s="11">
        <f>C35*(1+D35/100)</f>
        <v/>
      </c>
      <c r="F35" s="6">
        <f>ROUNDUP((G34+45)/(E35-1)/0.5,0)*0.5</f>
        <v/>
      </c>
      <c r="G35" s="6">
        <f>G34+F35</f>
        <v/>
      </c>
      <c r="H35" s="6">
        <f>F35*E35</f>
        <v/>
      </c>
      <c r="I35" s="6">
        <f>H35-G35</f>
        <v/>
      </c>
    </row>
    <row r="36">
      <c r="A36" s="5" t="inlineStr">
        <is>
          <t>Coper. 11</t>
        </is>
      </c>
      <c r="B36" s="6" t="n">
        <v>4</v>
      </c>
      <c r="C36" s="11">
        <f>1.32^B36</f>
        <v/>
      </c>
      <c r="D36" s="12" t="n">
        <v>0</v>
      </c>
      <c r="E36" s="11">
        <f>C36*(1+D36/100)</f>
        <v/>
      </c>
      <c r="F36" s="6">
        <f>ROUNDUP((G35+45)/(E36-1)/0.5,0)*0.5</f>
        <v/>
      </c>
      <c r="G36" s="6">
        <f>G35+F36</f>
        <v/>
      </c>
      <c r="H36" s="6">
        <f>F36*E36</f>
        <v/>
      </c>
      <c r="I36" s="6">
        <f>H36-G36</f>
        <v/>
      </c>
    </row>
    <row r="37">
      <c r="A37" s="5" t="inlineStr">
        <is>
          <t>Coper. 12</t>
        </is>
      </c>
      <c r="B37" s="6" t="n">
        <v>3</v>
      </c>
      <c r="C37" s="11">
        <f>1.32^B37</f>
        <v/>
      </c>
      <c r="D37" s="12" t="n">
        <v>0</v>
      </c>
      <c r="E37" s="11">
        <f>C37*(1+D37/100)</f>
        <v/>
      </c>
      <c r="F37" s="6">
        <f>ROUNDUP((G36+45)/(E37-1)/0.5,0)*0.5</f>
        <v/>
      </c>
      <c r="G37" s="6">
        <f>G36+F37</f>
        <v/>
      </c>
      <c r="H37" s="6">
        <f>F37*E37</f>
        <v/>
      </c>
      <c r="I37" s="6">
        <f>H37-G37</f>
        <v/>
      </c>
    </row>
    <row r="38">
      <c r="A38" s="5" t="inlineStr">
        <is>
          <t>Coper. 13</t>
        </is>
      </c>
      <c r="B38" s="6" t="n">
        <v>2</v>
      </c>
      <c r="C38" s="11">
        <f>1.32^B38</f>
        <v/>
      </c>
      <c r="D38" s="12" t="n">
        <v>0</v>
      </c>
      <c r="E38" s="11">
        <f>C38*(1+D38/100)</f>
        <v/>
      </c>
      <c r="F38" s="6">
        <f>ROUNDUP((G37+45)/(E38-1)/0.5,0)*0.5</f>
        <v/>
      </c>
      <c r="G38" s="6">
        <f>G37+F38</f>
        <v/>
      </c>
      <c r="H38" s="6">
        <f>F38*E38</f>
        <v/>
      </c>
      <c r="I38" s="6">
        <f>H38-G38</f>
        <v/>
      </c>
    </row>
    <row r="39">
      <c r="A39" s="5" t="inlineStr">
        <is>
          <t>Coper. 14</t>
        </is>
      </c>
      <c r="B39" s="6" t="n">
        <v>1</v>
      </c>
      <c r="C39" s="11">
        <f>1.32^B39</f>
        <v/>
      </c>
      <c r="D39" s="12" t="n">
        <v>0</v>
      </c>
      <c r="E39" s="11">
        <f>C39*(1+D39/100)</f>
        <v/>
      </c>
      <c r="F39" s="6">
        <f>ROUNDUP((G38+45)/(E39-1)/0.5,0)*0.5</f>
        <v/>
      </c>
      <c r="G39" s="6">
        <f>G38+F39</f>
        <v/>
      </c>
      <c r="H39" s="6">
        <f>F39*E39</f>
        <v/>
      </c>
      <c r="I39" s="6">
        <f>H39-G39</f>
        <v/>
      </c>
    </row>
    <row r="40">
      <c r="A40" s="7" t="inlineStr">
        <is>
          <t>LOCK Exchange</t>
        </is>
      </c>
      <c r="B40" s="8" t="n">
        <v>0</v>
      </c>
      <c r="C40" s="9" t="n">
        <v>2.75</v>
      </c>
      <c r="D40" s="10" t="n">
        <v>0</v>
      </c>
      <c r="E40" s="9" t="n">
        <v>2.75</v>
      </c>
      <c r="F40" s="8">
        <f>ROUNDUP((G39+45)/(E40-1)/0.5,0)*0.5</f>
        <v/>
      </c>
      <c r="G40" s="8">
        <f>G39+F40</f>
        <v/>
      </c>
      <c r="H40" s="8">
        <f>F40*E40</f>
        <v/>
      </c>
      <c r="I40" s="8">
        <f>H40-G40</f>
        <v/>
      </c>
    </row>
    <row r="42">
      <c r="A42" s="3" t="inlineStr">
        <is>
          <t>RIEPILOGO</t>
        </is>
      </c>
    </row>
    <row r="43">
      <c r="A43" t="inlineStr">
        <is>
          <t>Spesa Madre S0</t>
        </is>
      </c>
      <c r="B43" s="6">
        <f>F25</f>
        <v/>
      </c>
    </row>
    <row r="44">
      <c r="A44" t="inlineStr">
        <is>
          <t>Spesa Totale Ciclo (fino a lock)</t>
        </is>
      </c>
      <c r="B44" s="5">
        <f>G40</f>
        <v/>
      </c>
    </row>
    <row r="45">
      <c r="A45" t="inlineStr">
        <is>
          <t>Vincita Madre (tutti Under)</t>
        </is>
      </c>
      <c r="B45" s="13">
        <f>H25</f>
        <v/>
      </c>
    </row>
    <row r="46">
      <c r="A46" t="inlineStr">
        <is>
          <t>Vincita Copertura 1 (1 errore)</t>
        </is>
      </c>
      <c r="B46" s="6">
        <f>H26</f>
        <v/>
      </c>
    </row>
    <row r="47">
      <c r="A47" t="inlineStr">
        <is>
          <t>Vincita Lock Exchange</t>
        </is>
      </c>
      <c r="B47" s="13">
        <f>H40</f>
        <v/>
      </c>
    </row>
    <row r="48">
      <c r="A48" t="inlineStr">
        <is>
          <t>ROI Madre</t>
        </is>
      </c>
      <c r="B48" s="14">
        <f>I25/G25</f>
        <v/>
      </c>
    </row>
    <row r="49">
      <c r="A49" t="inlineStr">
        <is>
          <t>ROI Lock Exchange</t>
        </is>
      </c>
      <c r="B49" s="14">
        <f>I40/G40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TABELLE BONUS &amp; ASSICURAZIONE</t>
        </is>
      </c>
    </row>
    <row r="3">
      <c r="A3" s="3" t="inlineStr">
        <is>
          <t>TABELLA BONUS MULTIPLA</t>
        </is>
      </c>
    </row>
    <row r="4">
      <c r="A4" s="4" t="inlineStr">
        <is>
          <t>N Eventi</t>
        </is>
      </c>
      <c r="B4" s="4" t="inlineStr">
        <is>
          <t>% BONUS</t>
        </is>
      </c>
      <c r="C4" s="4" t="inlineStr">
        <is>
          <t>Molt. Raw (1.32^N)</t>
        </is>
      </c>
      <c r="D4" s="4" t="inlineStr">
        <is>
          <t>Molt. Finale</t>
        </is>
      </c>
      <c r="E4" s="4" t="inlineStr">
        <is>
          <t>Formula</t>
        </is>
      </c>
    </row>
    <row r="5">
      <c r="A5" s="15" t="n">
        <v>5</v>
      </c>
      <c r="B5" s="12" t="n">
        <v>6</v>
      </c>
      <c r="C5" s="16">
        <f>1.32^A5</f>
        <v/>
      </c>
      <c r="D5" s="16">
        <f>C5*(1+B5/100)</f>
        <v/>
      </c>
      <c r="E5" s="17" t="inlineStr">
        <is>
          <t>1.32^5 x (1 + 6.0%)</t>
        </is>
      </c>
    </row>
    <row r="6">
      <c r="A6" s="15" t="n">
        <v>6</v>
      </c>
      <c r="B6" s="12" t="n">
        <v>12.4</v>
      </c>
      <c r="C6" s="16">
        <f>1.32^A6</f>
        <v/>
      </c>
      <c r="D6" s="16">
        <f>C6*(1+B6/100)</f>
        <v/>
      </c>
      <c r="E6" s="17" t="inlineStr">
        <is>
          <t>1.32^6 x (1 + 12.4%)</t>
        </is>
      </c>
    </row>
    <row r="7">
      <c r="A7" s="15" t="n">
        <v>7</v>
      </c>
      <c r="B7" s="12" t="n">
        <v>19.1</v>
      </c>
      <c r="C7" s="16">
        <f>1.32^A7</f>
        <v/>
      </c>
      <c r="D7" s="16">
        <f>C7*(1+B7/100)</f>
        <v/>
      </c>
      <c r="E7" s="17" t="inlineStr">
        <is>
          <t>1.32^7 x (1 + 19.1%)</t>
        </is>
      </c>
    </row>
    <row r="8">
      <c r="A8" s="15" t="n">
        <v>8</v>
      </c>
      <c r="B8" s="12" t="n">
        <v>26.2</v>
      </c>
      <c r="C8" s="16">
        <f>1.32^A8</f>
        <v/>
      </c>
      <c r="D8" s="16">
        <f>C8*(1+B8/100)</f>
        <v/>
      </c>
      <c r="E8" s="17" t="inlineStr">
        <is>
          <t>1.32^8 x (1 + 26.2%)</t>
        </is>
      </c>
    </row>
    <row r="9">
      <c r="A9" s="15" t="n">
        <v>9</v>
      </c>
      <c r="B9" s="12" t="n">
        <v>33.8</v>
      </c>
      <c r="C9" s="16">
        <f>1.32^A9</f>
        <v/>
      </c>
      <c r="D9" s="16">
        <f>C9*(1+B9/100)</f>
        <v/>
      </c>
      <c r="E9" s="17" t="inlineStr">
        <is>
          <t>1.32^9 x (1 + 33.8%)</t>
        </is>
      </c>
    </row>
    <row r="10">
      <c r="A10" s="15" t="n">
        <v>10</v>
      </c>
      <c r="B10" s="12" t="n">
        <v>41.9</v>
      </c>
      <c r="C10" s="16">
        <f>1.32^A10</f>
        <v/>
      </c>
      <c r="D10" s="16">
        <f>C10*(1+B10/100)</f>
        <v/>
      </c>
      <c r="E10" s="17" t="inlineStr">
        <is>
          <t>1.32^10 x (1 + 41.9%)</t>
        </is>
      </c>
    </row>
    <row r="11">
      <c r="A11" s="15" t="n">
        <v>11</v>
      </c>
      <c r="B11" s="12" t="n">
        <v>50.4</v>
      </c>
      <c r="C11" s="16">
        <f>1.32^A11</f>
        <v/>
      </c>
      <c r="D11" s="16">
        <f>C11*(1+B11/100)</f>
        <v/>
      </c>
      <c r="E11" s="17" t="inlineStr">
        <is>
          <t>1.32^11 x (1 + 50.4%)</t>
        </is>
      </c>
    </row>
    <row r="12">
      <c r="A12" s="15" t="n">
        <v>12</v>
      </c>
      <c r="B12" s="12" t="n">
        <v>59.4</v>
      </c>
      <c r="C12" s="16">
        <f>1.32^A12</f>
        <v/>
      </c>
      <c r="D12" s="16">
        <f>C12*(1+B12/100)</f>
        <v/>
      </c>
      <c r="E12" s="17" t="inlineStr">
        <is>
          <t>1.32^12 x (1 + 59.4%)</t>
        </is>
      </c>
    </row>
    <row r="13">
      <c r="A13" s="15" t="n">
        <v>13</v>
      </c>
      <c r="B13" s="12" t="n">
        <v>68.90000000000001</v>
      </c>
      <c r="C13" s="16">
        <f>1.32^A13</f>
        <v/>
      </c>
      <c r="D13" s="16">
        <f>C13*(1+B13/100)</f>
        <v/>
      </c>
      <c r="E13" s="17" t="inlineStr">
        <is>
          <t>1.32^13 x (1 + 68.9%)</t>
        </is>
      </c>
    </row>
    <row r="14">
      <c r="A14" s="15" t="n">
        <v>14</v>
      </c>
      <c r="B14" s="12" t="n">
        <v>79.09999999999999</v>
      </c>
      <c r="C14" s="16">
        <f>1.32^A14</f>
        <v/>
      </c>
      <c r="D14" s="16">
        <f>C14*(1+B14/100)</f>
        <v/>
      </c>
      <c r="E14" s="17" t="inlineStr">
        <is>
          <t>1.32^14 x (1 + 79.1%)</t>
        </is>
      </c>
    </row>
    <row r="15">
      <c r="A15" s="15" t="n">
        <v>15</v>
      </c>
      <c r="B15" s="12" t="n">
        <v>89.8</v>
      </c>
      <c r="C15" s="16">
        <f>1.32^A15</f>
        <v/>
      </c>
      <c r="D15" s="16">
        <f>C15*(1+B15/100)</f>
        <v/>
      </c>
      <c r="E15" s="17" t="inlineStr">
        <is>
          <t>1.32^15 x (1 + 89.8%)</t>
        </is>
      </c>
    </row>
    <row r="16">
      <c r="A16" s="15" t="n">
        <v>16</v>
      </c>
      <c r="B16" s="12" t="n">
        <v>101.2</v>
      </c>
      <c r="C16" s="16">
        <f>1.32^A16</f>
        <v/>
      </c>
      <c r="D16" s="16">
        <f>C16*(1+B16/100)</f>
        <v/>
      </c>
      <c r="E16" s="17" t="inlineStr">
        <is>
          <t>1.32^16 x (1 + 101.2%)</t>
        </is>
      </c>
    </row>
    <row r="17">
      <c r="A17" s="15" t="n">
        <v>17</v>
      </c>
      <c r="B17" s="12" t="n">
        <v>113.3</v>
      </c>
      <c r="C17" s="16">
        <f>1.32^A17</f>
        <v/>
      </c>
      <c r="D17" s="16">
        <f>C17*(1+B17/100)</f>
        <v/>
      </c>
      <c r="E17" s="17" t="inlineStr">
        <is>
          <t>1.32^17 x (1 + 113.3%)</t>
        </is>
      </c>
    </row>
    <row r="18">
      <c r="A18" s="15" t="n">
        <v>18</v>
      </c>
      <c r="B18" s="12" t="n">
        <v>126.1</v>
      </c>
      <c r="C18" s="16">
        <f>1.32^A18</f>
        <v/>
      </c>
      <c r="D18" s="16">
        <f>C18*(1+B18/100)</f>
        <v/>
      </c>
      <c r="E18" s="17" t="inlineStr">
        <is>
          <t>1.32^18 x (1 + 126.1%)</t>
        </is>
      </c>
    </row>
    <row r="19">
      <c r="A19" s="15" t="n">
        <v>19</v>
      </c>
      <c r="B19" s="12" t="n">
        <v>139.7</v>
      </c>
      <c r="C19" s="16">
        <f>1.32^A19</f>
        <v/>
      </c>
      <c r="D19" s="16">
        <f>C19*(1+B19/100)</f>
        <v/>
      </c>
      <c r="E19" s="17" t="inlineStr">
        <is>
          <t>1.32^19 x (1 + 139.7%)</t>
        </is>
      </c>
    </row>
    <row r="20">
      <c r="A20" s="15" t="n">
        <v>20</v>
      </c>
      <c r="B20" s="12" t="n">
        <v>154</v>
      </c>
      <c r="C20" s="16">
        <f>1.32^A20</f>
        <v/>
      </c>
      <c r="D20" s="16">
        <f>C20*(1+B20/100)</f>
        <v/>
      </c>
      <c r="E20" s="17" t="inlineStr">
        <is>
          <t>1.32^20 x (1 + 154.0%)</t>
        </is>
      </c>
    </row>
    <row r="21">
      <c r="A21" s="15" t="n">
        <v>21</v>
      </c>
      <c r="B21" s="12" t="n">
        <v>169.3</v>
      </c>
      <c r="C21" s="16">
        <f>1.32^A21</f>
        <v/>
      </c>
      <c r="D21" s="16">
        <f>C21*(1+B21/100)</f>
        <v/>
      </c>
      <c r="E21" s="17" t="inlineStr">
        <is>
          <t>1.32^21 x (1 + 169.3%)</t>
        </is>
      </c>
    </row>
    <row r="22">
      <c r="A22" s="15" t="n">
        <v>22</v>
      </c>
      <c r="B22" s="12" t="n">
        <v>185.4</v>
      </c>
      <c r="C22" s="16">
        <f>1.32^A22</f>
        <v/>
      </c>
      <c r="D22" s="16">
        <f>C22*(1+B22/100)</f>
        <v/>
      </c>
      <c r="E22" s="17" t="inlineStr">
        <is>
          <t>1.32^22 x (1 + 185.4%)</t>
        </is>
      </c>
    </row>
    <row r="23">
      <c r="A23" s="15" t="n">
        <v>23</v>
      </c>
      <c r="B23" s="12" t="n">
        <v>202.6</v>
      </c>
      <c r="C23" s="16">
        <f>1.32^A23</f>
        <v/>
      </c>
      <c r="D23" s="16">
        <f>C23*(1+B23/100)</f>
        <v/>
      </c>
      <c r="E23" s="17" t="inlineStr">
        <is>
          <t>1.32^23 x (1 + 202.6%)</t>
        </is>
      </c>
    </row>
    <row r="24">
      <c r="A24" s="15" t="n">
        <v>24</v>
      </c>
      <c r="B24" s="12" t="n">
        <v>220.7</v>
      </c>
      <c r="C24" s="16">
        <f>1.32^A24</f>
        <v/>
      </c>
      <c r="D24" s="16">
        <f>C24*(1+B24/100)</f>
        <v/>
      </c>
      <c r="E24" s="17" t="inlineStr">
        <is>
          <t>1.32^24 x (1 + 220.7%)</t>
        </is>
      </c>
    </row>
    <row r="25">
      <c r="A25" s="15" t="n">
        <v>25</v>
      </c>
      <c r="B25" s="12" t="n">
        <v>240</v>
      </c>
      <c r="C25" s="16">
        <f>1.32^A25</f>
        <v/>
      </c>
      <c r="D25" s="16">
        <f>C25*(1+B25/100)</f>
        <v/>
      </c>
      <c r="E25" s="17" t="inlineStr">
        <is>
          <t>1.32^25 x (1 + 240.0%)</t>
        </is>
      </c>
    </row>
    <row r="26">
      <c r="A26" s="15" t="n">
        <v>26</v>
      </c>
      <c r="B26" s="12" t="n">
        <v>260.4</v>
      </c>
      <c r="C26" s="16">
        <f>1.32^A26</f>
        <v/>
      </c>
      <c r="D26" s="16">
        <f>C26*(1+B26/100)</f>
        <v/>
      </c>
      <c r="E26" s="17" t="inlineStr">
        <is>
          <t>1.32^26 x (1 + 260.4%)</t>
        </is>
      </c>
    </row>
    <row r="27">
      <c r="A27" s="15" t="n">
        <v>27</v>
      </c>
      <c r="B27" s="12" t="n">
        <v>282</v>
      </c>
      <c r="C27" s="16">
        <f>1.32^A27</f>
        <v/>
      </c>
      <c r="D27" s="16">
        <f>C27*(1+B27/100)</f>
        <v/>
      </c>
      <c r="E27" s="17" t="inlineStr">
        <is>
          <t>1.32^27 x (1 + 282.0%)</t>
        </is>
      </c>
    </row>
    <row r="28">
      <c r="A28" s="15" t="n">
        <v>28</v>
      </c>
      <c r="B28" s="12" t="n">
        <v>304.9</v>
      </c>
      <c r="C28" s="16">
        <f>1.32^A28</f>
        <v/>
      </c>
      <c r="D28" s="16">
        <f>C28*(1+B28/100)</f>
        <v/>
      </c>
      <c r="E28" s="17" t="inlineStr">
        <is>
          <t>1.32^28 x (1 + 304.9%)</t>
        </is>
      </c>
    </row>
    <row r="29">
      <c r="A29" s="15" t="n">
        <v>29</v>
      </c>
      <c r="B29" s="12" t="n">
        <v>329.2</v>
      </c>
      <c r="C29" s="16">
        <f>1.32^A29</f>
        <v/>
      </c>
      <c r="D29" s="16">
        <f>C29*(1+B29/100)</f>
        <v/>
      </c>
      <c r="E29" s="17" t="inlineStr">
        <is>
          <t>1.32^29 x (1 + 329.2%)</t>
        </is>
      </c>
    </row>
    <row r="30">
      <c r="A30" s="15" t="n">
        <v>30</v>
      </c>
      <c r="B30" s="12" t="n">
        <v>354.9</v>
      </c>
      <c r="C30" s="16">
        <f>1.32^A30</f>
        <v/>
      </c>
      <c r="D30" s="16">
        <f>C30*(1+B30/100)</f>
        <v/>
      </c>
      <c r="E30" s="17" t="inlineStr">
        <is>
          <t>1.32^30 x (1 + 354.9%)</t>
        </is>
      </c>
    </row>
    <row r="36">
      <c r="A36" s="3" t="inlineStr">
        <is>
          <t>TABELLA ASSICURAZIONE (N &gt;= 4)</t>
        </is>
      </c>
    </row>
    <row r="37">
      <c r="A37" s="4" t="inlineStr">
        <is>
          <t>N Eventi</t>
        </is>
      </c>
      <c r="B37" s="4" t="inlineStr">
        <is>
          <t>1 Errore</t>
        </is>
      </c>
      <c r="C37" s="4" t="inlineStr">
        <is>
          <t>2 Errori</t>
        </is>
      </c>
      <c r="D37" s="4" t="inlineStr">
        <is>
          <t>3 Errori</t>
        </is>
      </c>
      <c r="E37" s="4" t="inlineStr">
        <is>
          <t>Rimborso Max</t>
        </is>
      </c>
    </row>
    <row r="38">
      <c r="A38" s="15" t="n">
        <v>4</v>
      </c>
      <c r="B38" s="18" t="n">
        <v>30</v>
      </c>
      <c r="C38" s="18" t="n">
        <v>10</v>
      </c>
      <c r="D38" s="18" t="n">
        <v>0</v>
      </c>
      <c r="E38" s="18" t="n">
        <v>50</v>
      </c>
    </row>
    <row r="39">
      <c r="A39" s="15" t="n">
        <v>5</v>
      </c>
      <c r="B39" s="18" t="n">
        <v>60</v>
      </c>
      <c r="C39" s="18" t="n">
        <v>30</v>
      </c>
      <c r="D39" s="18" t="n">
        <v>10</v>
      </c>
      <c r="E39" s="18" t="n">
        <v>50</v>
      </c>
    </row>
    <row r="40">
      <c r="A40" s="15" t="n">
        <v>6</v>
      </c>
      <c r="B40" s="18" t="n">
        <v>80</v>
      </c>
      <c r="C40" s="18" t="n">
        <v>60</v>
      </c>
      <c r="D40" s="18" t="n">
        <v>30</v>
      </c>
      <c r="E40" s="18" t="n">
        <v>50</v>
      </c>
    </row>
    <row r="41">
      <c r="A41" s="15" t="n">
        <v>7</v>
      </c>
      <c r="B41" s="18" t="n">
        <v>100</v>
      </c>
      <c r="C41" s="18" t="n">
        <v>80</v>
      </c>
      <c r="D41" s="18" t="n">
        <v>60</v>
      </c>
      <c r="E41" s="18" t="n">
        <v>50</v>
      </c>
    </row>
    <row r="44">
      <c r="A44" s="19" t="inlineStr">
        <is>
          <t>QUOTA MINIMA: 1.25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SIMULAZIONE - Over al 4 evento (15 eventi)</t>
        </is>
      </c>
    </row>
    <row r="2">
      <c r="A2" s="20" t="inlineStr">
        <is>
          <t>M1-M3 Under (Madre attiva), M4 Over (Madre muore), C4 attiva per M5-M15, poi Lock</t>
        </is>
      </c>
    </row>
    <row r="4">
      <c r="A4" s="4" t="inlineStr">
        <is>
          <t>Step</t>
        </is>
      </c>
      <c r="B4" s="4" t="inlineStr">
        <is>
          <t>Evento</t>
        </is>
      </c>
      <c r="C4" s="4" t="inlineStr">
        <is>
          <t>Esito</t>
        </is>
      </c>
      <c r="D4" s="4" t="inlineStr">
        <is>
          <t>Ticket Attivo</t>
        </is>
      </c>
      <c r="E4" s="4" t="inlineStr">
        <is>
          <t>N_pending</t>
        </is>
      </c>
      <c r="F4" s="4" t="inlineStr">
        <is>
          <t>Raw</t>
        </is>
      </c>
      <c r="G4" s="4" t="inlineStr">
        <is>
          <t>Finale</t>
        </is>
      </c>
      <c r="H4" s="4" t="inlineStr">
        <is>
          <t>Stake</t>
        </is>
      </c>
      <c r="I4" s="4" t="inlineStr">
        <is>
          <t>Spesa_cum</t>
        </is>
      </c>
      <c r="J4" s="4" t="inlineStr">
        <is>
          <t>Lordo</t>
        </is>
      </c>
      <c r="K4" s="4" t="inlineStr">
        <is>
          <t>Netto</t>
        </is>
      </c>
    </row>
    <row r="5">
      <c r="A5" s="7" t="inlineStr">
        <is>
          <t>S0/M1</t>
        </is>
      </c>
      <c r="B5" s="8" t="inlineStr">
        <is>
          <t>M1</t>
        </is>
      </c>
      <c r="C5" s="8" t="inlineStr">
        <is>
          <t>Under</t>
        </is>
      </c>
      <c r="D5" s="8" t="inlineStr">
        <is>
          <t>Madre</t>
        </is>
      </c>
      <c r="E5" s="21" t="n">
        <v>15</v>
      </c>
      <c r="F5" s="9">
        <f>1.32^15</f>
        <v/>
      </c>
      <c r="G5" s="9">
        <f>F5*(1+89.8/100)</f>
        <v/>
      </c>
      <c r="H5" s="8" t="n">
        <v>2</v>
      </c>
      <c r="I5" s="8" t="n">
        <v>2</v>
      </c>
      <c r="J5" s="8">
        <f>H5*G5</f>
        <v/>
      </c>
      <c r="K5" s="8">
        <f>J5-I5</f>
        <v/>
      </c>
    </row>
    <row r="6">
      <c r="A6" s="7" t="inlineStr">
        <is>
          <t>S0/M2</t>
        </is>
      </c>
      <c r="B6" s="8" t="inlineStr">
        <is>
          <t>M2</t>
        </is>
      </c>
      <c r="C6" s="8" t="inlineStr">
        <is>
          <t>Under</t>
        </is>
      </c>
      <c r="D6" s="8" t="inlineStr">
        <is>
          <t>Madre</t>
        </is>
      </c>
      <c r="E6" s="21" t="n">
        <v>14</v>
      </c>
      <c r="F6" s="9">
        <f>1.32^14</f>
        <v/>
      </c>
      <c r="G6" s="9">
        <f>F6*(1+79.1/100)</f>
        <v/>
      </c>
      <c r="H6" s="8">
        <f>ROUNDUP((I5+45)/(G6-1)/0.5,0)*0.5</f>
        <v/>
      </c>
      <c r="I6" s="8">
        <f>I5+H6</f>
        <v/>
      </c>
      <c r="J6" s="8">
        <f>H6*G6</f>
        <v/>
      </c>
      <c r="K6" s="8">
        <f>J6-I6</f>
        <v/>
      </c>
    </row>
    <row r="7">
      <c r="A7" s="7" t="inlineStr">
        <is>
          <t>S0/M3</t>
        </is>
      </c>
      <c r="B7" s="8" t="inlineStr">
        <is>
          <t>M3</t>
        </is>
      </c>
      <c r="C7" s="8" t="inlineStr">
        <is>
          <t>Under</t>
        </is>
      </c>
      <c r="D7" s="8" t="inlineStr">
        <is>
          <t>Madre</t>
        </is>
      </c>
      <c r="E7" s="21" t="n">
        <v>13</v>
      </c>
      <c r="F7" s="9">
        <f>1.32^13</f>
        <v/>
      </c>
      <c r="G7" s="9">
        <f>F7*(1+68.9/100)</f>
        <v/>
      </c>
      <c r="H7" s="8">
        <f>ROUNDUP((I6+45)/(G7-1)/0.5,0)*0.5</f>
        <v/>
      </c>
      <c r="I7" s="8">
        <f>I6+H7</f>
        <v/>
      </c>
      <c r="J7" s="8">
        <f>H7*G7</f>
        <v/>
      </c>
      <c r="K7" s="8">
        <f>J7-I7</f>
        <v/>
      </c>
    </row>
    <row r="8">
      <c r="A8" s="22" t="inlineStr">
        <is>
          <t>M4</t>
        </is>
      </c>
      <c r="B8" s="23" t="inlineStr">
        <is>
          <t>M4</t>
        </is>
      </c>
      <c r="C8" s="23" t="inlineStr">
        <is>
          <t>OVER</t>
        </is>
      </c>
      <c r="D8" s="23" t="inlineStr">
        <is>
          <t>S0-&gt;C4</t>
        </is>
      </c>
      <c r="E8" s="24" t="n">
        <v>11</v>
      </c>
      <c r="F8" s="25">
        <f>1.32^11</f>
        <v/>
      </c>
      <c r="G8" s="25">
        <f>F8*(1+50.4/100)</f>
        <v/>
      </c>
      <c r="H8" s="23">
        <f>ROUNDUP((I7+45)/(G8-1)/0.5,0)*0.5</f>
        <v/>
      </c>
      <c r="I8" s="23">
        <f>I7+H8</f>
        <v/>
      </c>
      <c r="J8" s="23">
        <f>H8*G8</f>
        <v/>
      </c>
      <c r="K8" s="23">
        <f>J8-I8</f>
        <v/>
      </c>
    </row>
    <row r="9">
      <c r="A9" s="6" t="inlineStr">
        <is>
          <t>C4/M5</t>
        </is>
      </c>
      <c r="B9" s="6" t="inlineStr">
        <is>
          <t>M5</t>
        </is>
      </c>
      <c r="C9" s="6" t="inlineStr">
        <is>
          <t>Under</t>
        </is>
      </c>
      <c r="D9" s="6" t="inlineStr">
        <is>
          <t>C4</t>
        </is>
      </c>
      <c r="E9" s="18" t="n">
        <v>10</v>
      </c>
      <c r="F9" s="11">
        <f>1.32^10</f>
        <v/>
      </c>
      <c r="G9" s="11">
        <f>F9*(1+41.9/100)</f>
        <v/>
      </c>
      <c r="H9" s="6">
        <f>ROUNDUP((I8+45)/(G9-1)/0.5,0)*0.5</f>
        <v/>
      </c>
      <c r="I9" s="6">
        <f>I8+H9</f>
        <v/>
      </c>
      <c r="J9" s="6">
        <f>H9*G9</f>
        <v/>
      </c>
      <c r="K9" s="6">
        <f>J9-I9</f>
        <v/>
      </c>
    </row>
    <row r="10">
      <c r="A10" s="6" t="inlineStr">
        <is>
          <t>C4/M6</t>
        </is>
      </c>
      <c r="B10" s="6" t="inlineStr">
        <is>
          <t>M6</t>
        </is>
      </c>
      <c r="C10" s="6" t="inlineStr">
        <is>
          <t>Under</t>
        </is>
      </c>
      <c r="D10" s="6" t="inlineStr">
        <is>
          <t>C4</t>
        </is>
      </c>
      <c r="E10" s="18" t="n">
        <v>9</v>
      </c>
      <c r="F10" s="11">
        <f>1.32^9</f>
        <v/>
      </c>
      <c r="G10" s="11">
        <f>F10*(1+33.8/100)</f>
        <v/>
      </c>
      <c r="H10" s="6">
        <f>ROUNDUP((I9+45)/(G10-1)/0.5,0)*0.5</f>
        <v/>
      </c>
      <c r="I10" s="6">
        <f>I9+H10</f>
        <v/>
      </c>
      <c r="J10" s="6">
        <f>H10*G10</f>
        <v/>
      </c>
      <c r="K10" s="6">
        <f>J10-I10</f>
        <v/>
      </c>
    </row>
    <row r="11">
      <c r="A11" s="6" t="inlineStr">
        <is>
          <t>C4/M7</t>
        </is>
      </c>
      <c r="B11" s="6" t="inlineStr">
        <is>
          <t>M7</t>
        </is>
      </c>
      <c r="C11" s="6" t="inlineStr">
        <is>
          <t>Under</t>
        </is>
      </c>
      <c r="D11" s="6" t="inlineStr">
        <is>
          <t>C4</t>
        </is>
      </c>
      <c r="E11" s="18" t="n">
        <v>8</v>
      </c>
      <c r="F11" s="11">
        <f>1.32^8</f>
        <v/>
      </c>
      <c r="G11" s="11">
        <f>F11*(1+26.2/100)</f>
        <v/>
      </c>
      <c r="H11" s="6">
        <f>ROUNDUP((I10+45)/(G11-1)/0.5,0)*0.5</f>
        <v/>
      </c>
      <c r="I11" s="6">
        <f>I10+H11</f>
        <v/>
      </c>
      <c r="J11" s="6">
        <f>H11*G11</f>
        <v/>
      </c>
      <c r="K11" s="6">
        <f>J11-I11</f>
        <v/>
      </c>
    </row>
    <row r="12">
      <c r="A12" s="6" t="inlineStr">
        <is>
          <t>C4/M8</t>
        </is>
      </c>
      <c r="B12" s="6" t="inlineStr">
        <is>
          <t>M8</t>
        </is>
      </c>
      <c r="C12" s="6" t="inlineStr">
        <is>
          <t>Under</t>
        </is>
      </c>
      <c r="D12" s="6" t="inlineStr">
        <is>
          <t>C4</t>
        </is>
      </c>
      <c r="E12" s="18" t="n">
        <v>7</v>
      </c>
      <c r="F12" s="11">
        <f>1.32^7</f>
        <v/>
      </c>
      <c r="G12" s="11">
        <f>F12*(1+19.1/100)</f>
        <v/>
      </c>
      <c r="H12" s="6">
        <f>ROUNDUP((I11+45)/(G12-1)/0.5,0)*0.5</f>
        <v/>
      </c>
      <c r="I12" s="6">
        <f>I11+H12</f>
        <v/>
      </c>
      <c r="J12" s="6">
        <f>H12*G12</f>
        <v/>
      </c>
      <c r="K12" s="6">
        <f>J12-I12</f>
        <v/>
      </c>
    </row>
    <row r="13">
      <c r="A13" s="6" t="inlineStr">
        <is>
          <t>C4/M9</t>
        </is>
      </c>
      <c r="B13" s="6" t="inlineStr">
        <is>
          <t>M9</t>
        </is>
      </c>
      <c r="C13" s="6" t="inlineStr">
        <is>
          <t>Under</t>
        </is>
      </c>
      <c r="D13" s="6" t="inlineStr">
        <is>
          <t>C4</t>
        </is>
      </c>
      <c r="E13" s="18" t="n">
        <v>6</v>
      </c>
      <c r="F13" s="11">
        <f>1.32^6</f>
        <v/>
      </c>
      <c r="G13" s="11">
        <f>F13*(1+12.4/100)</f>
        <v/>
      </c>
      <c r="H13" s="6">
        <f>ROUNDUP((I12+45)/(G13-1)/0.5,0)*0.5</f>
        <v/>
      </c>
      <c r="I13" s="6">
        <f>I12+H13</f>
        <v/>
      </c>
      <c r="J13" s="6">
        <f>H13*G13</f>
        <v/>
      </c>
      <c r="K13" s="6">
        <f>J13-I13</f>
        <v/>
      </c>
    </row>
    <row r="14">
      <c r="A14" s="7" t="inlineStr">
        <is>
          <t>Lock</t>
        </is>
      </c>
      <c r="B14" s="8" t="inlineStr">
        <is>
          <t>Exchange</t>
        </is>
      </c>
      <c r="C14" s="8" t="inlineStr">
        <is>
          <t>LOCK</t>
        </is>
      </c>
      <c r="D14" s="8" t="inlineStr">
        <is>
          <t>Exchange</t>
        </is>
      </c>
      <c r="E14" s="21" t="n">
        <v>0</v>
      </c>
      <c r="F14" s="9" t="n">
        <v>2.75</v>
      </c>
      <c r="G14" s="9" t="n">
        <v>2.75</v>
      </c>
      <c r="H14" s="8">
        <f>ROUNDUP((I13+45)/(G14-1)/0.5,0)*0.5</f>
        <v/>
      </c>
      <c r="I14" s="8">
        <f>I13+H14</f>
        <v/>
      </c>
      <c r="J14" s="8">
        <f>H14*G14</f>
        <v/>
      </c>
      <c r="K14" s="8">
        <f>J14-I14</f>
        <v/>
      </c>
    </row>
    <row r="16">
      <c r="A16" s="3" t="inlineStr">
        <is>
          <t>RISULTATO</t>
        </is>
      </c>
    </row>
    <row r="17">
      <c r="A17" t="inlineStr">
        <is>
          <t>Costo totale ciclo (fino a lock)</t>
        </is>
      </c>
      <c r="B17" s="5">
        <f>I14</f>
        <v/>
      </c>
    </row>
    <row r="18">
      <c r="A18" t="inlineStr">
        <is>
          <t>Vincita Lock Exchange</t>
        </is>
      </c>
      <c r="B18" s="13">
        <f>J14</f>
        <v/>
      </c>
    </row>
    <row r="19">
      <c r="A19" t="inlineStr">
        <is>
          <t>Netto Lock</t>
        </is>
      </c>
      <c r="B19" s="6">
        <f>K14</f>
        <v/>
      </c>
    </row>
    <row r="20">
      <c r="A20" t="inlineStr">
        <is>
          <t>ROI Lock</t>
        </is>
      </c>
      <c r="B20" s="14">
        <f>K14/I14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1" t="inlineStr">
        <is>
          <t>ASSICURAZIONE (separata dal calcolo coperture)</t>
        </is>
      </c>
    </row>
    <row r="2">
      <c r="A2" s="20" t="inlineStr">
        <is>
          <t>Non entra in quote/bonus/stake. Solo rimborso passivo su ticket persi ammissibili.</t>
        </is>
      </c>
    </row>
    <row r="4">
      <c r="A4" s="4" t="inlineStr">
        <is>
          <t>N Eventi</t>
        </is>
      </c>
      <c r="B4" s="4" t="inlineStr">
        <is>
          <t>1 Errore</t>
        </is>
      </c>
      <c r="C4" s="4" t="inlineStr">
        <is>
          <t>2 Errori</t>
        </is>
      </c>
      <c r="D4" s="4" t="inlineStr">
        <is>
          <t>3 Errori</t>
        </is>
      </c>
      <c r="E4" s="4" t="inlineStr">
        <is>
          <t>Rimborso Max</t>
        </is>
      </c>
    </row>
    <row r="5">
      <c r="A5" s="15" t="n">
        <v>4</v>
      </c>
      <c r="B5" s="18" t="n">
        <v>30</v>
      </c>
      <c r="C5" s="18" t="n">
        <v>10</v>
      </c>
      <c r="D5" s="18" t="n">
        <v>0</v>
      </c>
      <c r="E5" s="18" t="n">
        <v>50</v>
      </c>
    </row>
    <row r="6">
      <c r="A6" s="15" t="n">
        <v>5</v>
      </c>
      <c r="B6" s="18" t="n">
        <v>60</v>
      </c>
      <c r="C6" s="18" t="n">
        <v>30</v>
      </c>
      <c r="D6" s="18" t="n">
        <v>10</v>
      </c>
      <c r="E6" s="18" t="n">
        <v>50</v>
      </c>
    </row>
    <row r="7">
      <c r="A7" s="15" t="n">
        <v>6</v>
      </c>
      <c r="B7" s="18" t="n">
        <v>80</v>
      </c>
      <c r="C7" s="18" t="n">
        <v>60</v>
      </c>
      <c r="D7" s="18" t="n">
        <v>30</v>
      </c>
      <c r="E7" s="18" t="n">
        <v>50</v>
      </c>
    </row>
    <row r="8">
      <c r="A8" s="15" t="n">
        <v>7</v>
      </c>
      <c r="B8" s="18" t="n">
        <v>100</v>
      </c>
      <c r="C8" s="18" t="n">
        <v>80</v>
      </c>
      <c r="D8" s="18" t="n">
        <v>60</v>
      </c>
      <c r="E8" s="18" t="n">
        <v>50</v>
      </c>
    </row>
    <row r="11">
      <c r="A11" s="3" t="inlineStr">
        <is>
          <t>SCENARIO: C4 attiva (N_int=12, N_slip=11)</t>
        </is>
      </c>
    </row>
    <row r="12">
      <c r="A12" s="4" t="inlineStr">
        <is>
          <t>Parametro</t>
        </is>
      </c>
      <c r="B12" s="4" t="inlineStr">
        <is>
          <t>Valore</t>
        </is>
      </c>
      <c r="C12" s="4" t="inlineStr">
        <is>
          <t>Note</t>
        </is>
      </c>
    </row>
    <row r="13">
      <c r="A13" t="inlineStr">
        <is>
          <t>N_internal (confermate+pending)</t>
        </is>
      </c>
      <c r="B13" s="15" t="n">
        <v>12</v>
      </c>
      <c r="C13" s="17" t="inlineStr">
        <is>
          <t>4 confermate (M1-M4) + 11 pending -&gt; tabella 7+</t>
        </is>
      </c>
    </row>
    <row r="14">
      <c r="A14" t="inlineStr">
        <is>
          <t>N_slip (solo pending)</t>
        </is>
      </c>
      <c r="B14" s="17" t="n">
        <v>11</v>
      </c>
      <c r="C14" s="17" t="inlineStr">
        <is>
          <t>Per bonus: tabella_bonus[11]=50.4%</t>
        </is>
      </c>
    </row>
    <row r="15">
      <c r="A15" t="inlineStr">
        <is>
          <t>Stake C4 (da Madre_Coperture)</t>
        </is>
      </c>
      <c r="B15" s="6">
        <f>'Madre_Coperture'!F29</f>
        <v/>
      </c>
      <c r="C15" s="17" t="inlineStr">
        <is>
          <t>Riga Coper.4 del foglio Madre_Coperture</t>
        </is>
      </c>
    </row>
    <row r="16">
      <c r="A16" t="inlineStr">
        <is>
          <t>Rimborso 1 errore (100%)</t>
        </is>
      </c>
      <c r="B16" s="13">
        <f>MIN(B15,50)*1.00</f>
        <v/>
      </c>
    </row>
    <row r="17">
      <c r="A17" t="inlineStr">
        <is>
          <t>Rimborso 2 errori (80%)</t>
        </is>
      </c>
      <c r="B17" s="6">
        <f>MIN(B15,50)*0.80</f>
        <v/>
      </c>
    </row>
    <row r="18">
      <c r="A18" t="inlineStr">
        <is>
          <t>Rimborso 3 errori (60%)</t>
        </is>
      </c>
      <c r="B18" s="6">
        <f>MIN(B15,50)*0.60</f>
        <v/>
      </c>
    </row>
    <row r="19">
      <c r="A19" t="inlineStr">
        <is>
          <t>Rimborso 4+ errori (0%)</t>
        </is>
      </c>
      <c r="B19" s="6">
        <f>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TUTTE LE SITUAZIONI - 15 EVENTI</t>
        </is>
      </c>
    </row>
    <row r="2">
      <c r="A2" s="20" t="inlineStr">
        <is>
          <t>Solo 1 ticket attivo alla volta. Spesa/vincita da foglio Madre_Coperture.</t>
        </is>
      </c>
    </row>
    <row r="4">
      <c r="A4" s="4" t="inlineStr">
        <is>
          <t>Scenario</t>
        </is>
      </c>
      <c r="B4" s="4" t="inlineStr">
        <is>
          <t>Errori</t>
        </is>
      </c>
      <c r="C4" s="4" t="inlineStr">
        <is>
          <t>Posizione</t>
        </is>
      </c>
      <c r="D4" s="4" t="inlineStr">
        <is>
          <t>Stato</t>
        </is>
      </c>
      <c r="E4" s="4" t="inlineStr">
        <is>
          <t>Spesa</t>
        </is>
      </c>
      <c r="F4" s="4" t="inlineStr">
        <is>
          <t>Vincita</t>
        </is>
      </c>
      <c r="G4" s="4" t="inlineStr">
        <is>
          <t>Netto</t>
        </is>
      </c>
      <c r="H4" s="4" t="inlineStr">
        <is>
          <t>ROI</t>
        </is>
      </c>
    </row>
    <row r="5">
      <c r="A5" s="15" t="inlineStr">
        <is>
          <t>E0</t>
        </is>
      </c>
      <c r="B5" s="17" t="n">
        <v>0</v>
      </c>
      <c r="C5" s="17" t="inlineStr">
        <is>
          <t>Nessuno</t>
        </is>
      </c>
      <c r="D5" s="26" t="inlineStr">
        <is>
          <t>Madre vince</t>
        </is>
      </c>
      <c r="E5" s="6">
        <f>'Madre_Coperture'!G25</f>
        <v/>
      </c>
      <c r="F5" s="6">
        <f>'Madre_Coperture'!H25</f>
        <v/>
      </c>
      <c r="G5" s="6">
        <f>'Madre_Coperture'!I25</f>
        <v/>
      </c>
      <c r="H5" s="14">
        <f>IF(E5=0,0,G5/E5)</f>
        <v/>
      </c>
    </row>
    <row r="6">
      <c r="A6" s="15" t="inlineStr">
        <is>
          <t>E1(k=1)</t>
        </is>
      </c>
      <c r="B6" s="17" t="n">
        <v>1</v>
      </c>
      <c r="C6" s="17" t="inlineStr">
        <is>
          <t>M1</t>
        </is>
      </c>
      <c r="D6" s="27" t="inlineStr">
        <is>
          <t>C1 attiva</t>
        </is>
      </c>
      <c r="E6" s="6">
        <f>'Madre_Coperture'!G26</f>
        <v/>
      </c>
      <c r="F6" s="6">
        <f>'Madre_Coperture'!H26</f>
        <v/>
      </c>
      <c r="G6" s="6">
        <f>'Madre_Coperture'!I26</f>
        <v/>
      </c>
      <c r="H6" s="14">
        <f>IF(E6=0,0,G6/E6)</f>
        <v/>
      </c>
    </row>
    <row r="7">
      <c r="A7" s="15" t="inlineStr">
        <is>
          <t>E1(k=2)</t>
        </is>
      </c>
      <c r="B7" s="17" t="n">
        <v>1</v>
      </c>
      <c r="C7" s="17" t="inlineStr">
        <is>
          <t>M2</t>
        </is>
      </c>
      <c r="D7" s="27" t="inlineStr">
        <is>
          <t>C2 attiva</t>
        </is>
      </c>
      <c r="E7" s="6">
        <f>'Madre_Coperture'!G27</f>
        <v/>
      </c>
      <c r="F7" s="6">
        <f>'Madre_Coperture'!H27</f>
        <v/>
      </c>
      <c r="G7" s="6">
        <f>'Madre_Coperture'!I27</f>
        <v/>
      </c>
      <c r="H7" s="14">
        <f>IF(E7=0,0,G7/E7)</f>
        <v/>
      </c>
    </row>
    <row r="8">
      <c r="A8" s="15" t="inlineStr">
        <is>
          <t>E1(k=3)</t>
        </is>
      </c>
      <c r="B8" s="17" t="n">
        <v>1</v>
      </c>
      <c r="C8" s="17" t="inlineStr">
        <is>
          <t>M3</t>
        </is>
      </c>
      <c r="D8" s="27" t="inlineStr">
        <is>
          <t>C3 attiva</t>
        </is>
      </c>
      <c r="E8" s="6">
        <f>'Madre_Coperture'!G28</f>
        <v/>
      </c>
      <c r="F8" s="6">
        <f>'Madre_Coperture'!H28</f>
        <v/>
      </c>
      <c r="G8" s="6">
        <f>'Madre_Coperture'!I28</f>
        <v/>
      </c>
      <c r="H8" s="14">
        <f>IF(E8=0,0,G8/E8)</f>
        <v/>
      </c>
    </row>
    <row r="9">
      <c r="A9" s="15" t="inlineStr">
        <is>
          <t>E1(k=4)</t>
        </is>
      </c>
      <c r="B9" s="17" t="n">
        <v>1</v>
      </c>
      <c r="C9" s="17" t="inlineStr">
        <is>
          <t>M4</t>
        </is>
      </c>
      <c r="D9" s="27" t="inlineStr">
        <is>
          <t>C4 attiva</t>
        </is>
      </c>
      <c r="E9" s="6">
        <f>'Madre_Coperture'!G29</f>
        <v/>
      </c>
      <c r="F9" s="6">
        <f>'Madre_Coperture'!H29</f>
        <v/>
      </c>
      <c r="G9" s="6">
        <f>'Madre_Coperture'!I29</f>
        <v/>
      </c>
      <c r="H9" s="14">
        <f>IF(E9=0,0,G9/E9)</f>
        <v/>
      </c>
    </row>
    <row r="10">
      <c r="A10" s="15" t="inlineStr">
        <is>
          <t>E1(k=5)</t>
        </is>
      </c>
      <c r="B10" s="17" t="n">
        <v>1</v>
      </c>
      <c r="C10" s="17" t="inlineStr">
        <is>
          <t>M5</t>
        </is>
      </c>
      <c r="D10" s="27" t="inlineStr">
        <is>
          <t>C5 attiva</t>
        </is>
      </c>
      <c r="E10" s="6">
        <f>'Madre_Coperture'!G30</f>
        <v/>
      </c>
      <c r="F10" s="6">
        <f>'Madre_Coperture'!H30</f>
        <v/>
      </c>
      <c r="G10" s="6">
        <f>'Madre_Coperture'!I30</f>
        <v/>
      </c>
      <c r="H10" s="14">
        <f>IF(E10=0,0,G10/E10)</f>
        <v/>
      </c>
    </row>
    <row r="11">
      <c r="A11" s="15" t="inlineStr">
        <is>
          <t>E1(k=6)</t>
        </is>
      </c>
      <c r="B11" s="17" t="n">
        <v>1</v>
      </c>
      <c r="C11" s="17" t="inlineStr">
        <is>
          <t>M6</t>
        </is>
      </c>
      <c r="D11" s="27" t="inlineStr">
        <is>
          <t>C6 attiva</t>
        </is>
      </c>
      <c r="E11" s="6">
        <f>'Madre_Coperture'!G31</f>
        <v/>
      </c>
      <c r="F11" s="6">
        <f>'Madre_Coperture'!H31</f>
        <v/>
      </c>
      <c r="G11" s="6">
        <f>'Madre_Coperture'!I31</f>
        <v/>
      </c>
      <c r="H11" s="14">
        <f>IF(E11=0,0,G11/E11)</f>
        <v/>
      </c>
    </row>
    <row r="12">
      <c r="A12" s="15" t="inlineStr">
        <is>
          <t>E1(k=7)</t>
        </is>
      </c>
      <c r="B12" s="17" t="n">
        <v>1</v>
      </c>
      <c r="C12" s="17" t="inlineStr">
        <is>
          <t>M7</t>
        </is>
      </c>
      <c r="D12" s="27" t="inlineStr">
        <is>
          <t>C7 attiva</t>
        </is>
      </c>
      <c r="E12" s="6">
        <f>'Madre_Coperture'!G32</f>
        <v/>
      </c>
      <c r="F12" s="6">
        <f>'Madre_Coperture'!H32</f>
        <v/>
      </c>
      <c r="G12" s="6">
        <f>'Madre_Coperture'!I32</f>
        <v/>
      </c>
      <c r="H12" s="14">
        <f>IF(E12=0,0,G12/E12)</f>
        <v/>
      </c>
    </row>
    <row r="13">
      <c r="A13" s="15" t="inlineStr">
        <is>
          <t>E1(k=8)</t>
        </is>
      </c>
      <c r="B13" s="17" t="n">
        <v>1</v>
      </c>
      <c r="C13" s="17" t="inlineStr">
        <is>
          <t>M8</t>
        </is>
      </c>
      <c r="D13" s="27" t="inlineStr">
        <is>
          <t>C8 attiva</t>
        </is>
      </c>
      <c r="E13" s="6">
        <f>'Madre_Coperture'!G33</f>
        <v/>
      </c>
      <c r="F13" s="6">
        <f>'Madre_Coperture'!H33</f>
        <v/>
      </c>
      <c r="G13" s="6">
        <f>'Madre_Coperture'!I33</f>
        <v/>
      </c>
      <c r="H13" s="14">
        <f>IF(E13=0,0,G13/E13)</f>
        <v/>
      </c>
    </row>
    <row r="14">
      <c r="A14" s="15" t="inlineStr">
        <is>
          <t>E1(k=9)</t>
        </is>
      </c>
      <c r="B14" s="17" t="n">
        <v>1</v>
      </c>
      <c r="C14" s="17" t="inlineStr">
        <is>
          <t>M9</t>
        </is>
      </c>
      <c r="D14" s="27" t="inlineStr">
        <is>
          <t>C9 attiva</t>
        </is>
      </c>
      <c r="E14" s="6">
        <f>'Madre_Coperture'!G34</f>
        <v/>
      </c>
      <c r="F14" s="6">
        <f>'Madre_Coperture'!H34</f>
        <v/>
      </c>
      <c r="G14" s="6">
        <f>'Madre_Coperture'!I34</f>
        <v/>
      </c>
      <c r="H14" s="14">
        <f>IF(E14=0,0,G14/E14)</f>
        <v/>
      </c>
    </row>
    <row r="15">
      <c r="A15" s="15" t="inlineStr">
        <is>
          <t>E1(k=10)</t>
        </is>
      </c>
      <c r="B15" s="17" t="n">
        <v>1</v>
      </c>
      <c r="C15" s="17" t="inlineStr">
        <is>
          <t>M10</t>
        </is>
      </c>
      <c r="D15" s="27" t="inlineStr">
        <is>
          <t>C10 attiva</t>
        </is>
      </c>
      <c r="E15" s="6">
        <f>'Madre_Coperture'!G35</f>
        <v/>
      </c>
      <c r="F15" s="6">
        <f>'Madre_Coperture'!H35</f>
        <v/>
      </c>
      <c r="G15" s="6">
        <f>'Madre_Coperture'!I35</f>
        <v/>
      </c>
      <c r="H15" s="14">
        <f>IF(E15=0,0,G15/E15)</f>
        <v/>
      </c>
    </row>
    <row r="16">
      <c r="A16" s="15" t="inlineStr">
        <is>
          <t>E1(k=11)</t>
        </is>
      </c>
      <c r="B16" s="17" t="n">
        <v>1</v>
      </c>
      <c r="C16" s="17" t="inlineStr">
        <is>
          <t>M11</t>
        </is>
      </c>
      <c r="D16" s="27" t="inlineStr">
        <is>
          <t>C11 attiva</t>
        </is>
      </c>
      <c r="E16" s="6">
        <f>'Madre_Coperture'!G36</f>
        <v/>
      </c>
      <c r="F16" s="6">
        <f>'Madre_Coperture'!H36</f>
        <v/>
      </c>
      <c r="G16" s="6">
        <f>'Madre_Coperture'!I36</f>
        <v/>
      </c>
      <c r="H16" s="14">
        <f>IF(E16=0,0,G16/E16)</f>
        <v/>
      </c>
    </row>
    <row r="17">
      <c r="A17" s="15" t="inlineStr">
        <is>
          <t>E1(k=12)</t>
        </is>
      </c>
      <c r="B17" s="17" t="n">
        <v>1</v>
      </c>
      <c r="C17" s="17" t="inlineStr">
        <is>
          <t>M12</t>
        </is>
      </c>
      <c r="D17" s="27" t="inlineStr">
        <is>
          <t>C12 attiva</t>
        </is>
      </c>
      <c r="E17" s="6">
        <f>'Madre_Coperture'!G37</f>
        <v/>
      </c>
      <c r="F17" s="6">
        <f>'Madre_Coperture'!H37</f>
        <v/>
      </c>
      <c r="G17" s="6">
        <f>'Madre_Coperture'!I37</f>
        <v/>
      </c>
      <c r="H17" s="14">
        <f>IF(E17=0,0,G17/E17)</f>
        <v/>
      </c>
    </row>
    <row r="18">
      <c r="A18" s="15" t="inlineStr">
        <is>
          <t>E1(k=13)</t>
        </is>
      </c>
      <c r="B18" s="17" t="n">
        <v>1</v>
      </c>
      <c r="C18" s="17" t="inlineStr">
        <is>
          <t>M13</t>
        </is>
      </c>
      <c r="D18" s="27" t="inlineStr">
        <is>
          <t>C13 attiva</t>
        </is>
      </c>
      <c r="E18" s="6">
        <f>'Madre_Coperture'!G38</f>
        <v/>
      </c>
      <c r="F18" s="6">
        <f>'Madre_Coperture'!H38</f>
        <v/>
      </c>
      <c r="G18" s="6">
        <f>'Madre_Coperture'!I38</f>
        <v/>
      </c>
      <c r="H18" s="14">
        <f>IF(E18=0,0,G18/E18)</f>
        <v/>
      </c>
    </row>
    <row r="19">
      <c r="A19" s="15" t="inlineStr">
        <is>
          <t>E1(k=14)</t>
        </is>
      </c>
      <c r="B19" s="17" t="n">
        <v>1</v>
      </c>
      <c r="C19" s="17" t="inlineStr">
        <is>
          <t>M14</t>
        </is>
      </c>
      <c r="D19" s="27" t="inlineStr">
        <is>
          <t>C14 attiva</t>
        </is>
      </c>
      <c r="E19" s="6">
        <f>'Madre_Coperture'!G39</f>
        <v/>
      </c>
      <c r="F19" s="6">
        <f>'Madre_Coperture'!H39</f>
        <v/>
      </c>
      <c r="G19" s="6">
        <f>'Madre_Coperture'!I39</f>
        <v/>
      </c>
      <c r="H19" s="14">
        <f>IF(E19=0,0,G19/E19)</f>
        <v/>
      </c>
    </row>
    <row r="20">
      <c r="A20" s="15" t="inlineStr">
        <is>
          <t>E1(k=15)</t>
        </is>
      </c>
      <c r="B20" s="17" t="n">
        <v>1</v>
      </c>
      <c r="C20" s="17" t="inlineStr">
        <is>
          <t>M15</t>
        </is>
      </c>
      <c r="D20" s="27" t="inlineStr">
        <is>
          <t>Lock</t>
        </is>
      </c>
      <c r="E20" s="6" t="inlineStr"/>
      <c r="F20" s="6" t="inlineStr"/>
      <c r="G20" s="6" t="inlineStr"/>
      <c r="H20" s="14" t="inlineStr"/>
    </row>
    <row r="21">
      <c r="A21" s="15" t="inlineStr">
        <is>
          <t>E2(1,2)</t>
        </is>
      </c>
      <c r="B21" s="17" t="n">
        <v>2</v>
      </c>
      <c r="C21" s="17" t="inlineStr">
        <is>
          <t>M1,M2</t>
        </is>
      </c>
      <c r="D21" s="28" t="inlineStr">
        <is>
          <t>C2 attiva</t>
        </is>
      </c>
      <c r="E21" s="6" t="inlineStr"/>
      <c r="F21" s="6" t="inlineStr"/>
      <c r="G21" s="6" t="inlineStr"/>
      <c r="H21" s="14" t="inlineStr"/>
    </row>
    <row r="22">
      <c r="A22" s="15" t="inlineStr">
        <is>
          <t>E2(1,5)</t>
        </is>
      </c>
      <c r="B22" s="17" t="n">
        <v>2</v>
      </c>
      <c r="C22" s="17" t="inlineStr">
        <is>
          <t>M1,M5</t>
        </is>
      </c>
      <c r="D22" s="28" t="inlineStr">
        <is>
          <t>C5 attiva</t>
        </is>
      </c>
      <c r="E22" s="6" t="inlineStr"/>
      <c r="F22" s="6" t="inlineStr"/>
      <c r="G22" s="6" t="inlineStr"/>
      <c r="H22" s="14" t="inlineStr"/>
    </row>
    <row r="23">
      <c r="A23" s="15" t="inlineStr">
        <is>
          <t>E2(4,8)</t>
        </is>
      </c>
      <c r="B23" s="17" t="n">
        <v>2</v>
      </c>
      <c r="C23" s="17" t="inlineStr">
        <is>
          <t>M4,M8</t>
        </is>
      </c>
      <c r="D23" s="28" t="inlineStr">
        <is>
          <t>C8 attiva</t>
        </is>
      </c>
      <c r="E23" s="6" t="inlineStr"/>
      <c r="F23" s="6" t="inlineStr"/>
      <c r="G23" s="6" t="inlineStr"/>
      <c r="H23" s="14" t="inlineStr"/>
    </row>
    <row r="24">
      <c r="A24" s="15" t="inlineStr">
        <is>
          <t>E2(7,14)</t>
        </is>
      </c>
      <c r="B24" s="17" t="n">
        <v>2</v>
      </c>
      <c r="C24" s="17" t="inlineStr">
        <is>
          <t>M7,M14</t>
        </is>
      </c>
      <c r="D24" s="28" t="inlineStr">
        <is>
          <t>C14 attiva</t>
        </is>
      </c>
      <c r="E24" s="6" t="inlineStr"/>
      <c r="F24" s="6" t="inlineStr"/>
      <c r="G24" s="6" t="inlineStr"/>
      <c r="H24" s="14" t="inlineStr"/>
    </row>
    <row r="25">
      <c r="A25" s="15" t="inlineStr">
        <is>
          <t>E3(1,2,3)</t>
        </is>
      </c>
      <c r="B25" s="17" t="n">
        <v>3</v>
      </c>
      <c r="C25" s="17" t="inlineStr">
        <is>
          <t>M1-M3</t>
        </is>
      </c>
      <c r="D25" s="28" t="inlineStr">
        <is>
          <t>C3 attiva</t>
        </is>
      </c>
      <c r="E25" s="6" t="inlineStr"/>
      <c r="F25" s="6" t="inlineStr"/>
      <c r="G25" s="6" t="inlineStr"/>
      <c r="H25" s="14" t="inlineStr"/>
    </row>
    <row r="26">
      <c r="A26" s="15" t="inlineStr">
        <is>
          <t>E3(1,4,8)</t>
        </is>
      </c>
      <c r="B26" s="17" t="n">
        <v>3</v>
      </c>
      <c r="C26" s="17" t="inlineStr">
        <is>
          <t>M1,M4,M8</t>
        </is>
      </c>
      <c r="D26" s="28" t="inlineStr">
        <is>
          <t>C8 attiva</t>
        </is>
      </c>
      <c r="E26" s="6" t="inlineStr"/>
      <c r="F26" s="6" t="inlineStr"/>
      <c r="G26" s="6" t="inlineStr"/>
      <c r="H26" s="14" t="inlineStr"/>
    </row>
    <row r="27">
      <c r="A27" s="15" t="inlineStr">
        <is>
          <t>E3(5,9,13)</t>
        </is>
      </c>
      <c r="B27" s="17" t="n">
        <v>3</v>
      </c>
      <c r="C27" s="17" t="inlineStr">
        <is>
          <t>M5,M9,M13</t>
        </is>
      </c>
      <c r="D27" s="28" t="inlineStr">
        <is>
          <t>C13 attiva</t>
        </is>
      </c>
      <c r="E27" s="6" t="inlineStr"/>
      <c r="F27" s="6" t="inlineStr"/>
      <c r="G27" s="6" t="inlineStr"/>
      <c r="H27" s="14" t="inlineStr"/>
    </row>
    <row r="28">
      <c r="A28" s="15" t="inlineStr">
        <is>
          <t>E4(1-4)</t>
        </is>
      </c>
      <c r="B28" s="17" t="n">
        <v>4</v>
      </c>
      <c r="C28" s="17" t="inlineStr">
        <is>
          <t>M1-M4</t>
        </is>
      </c>
      <c r="D28" s="28" t="inlineStr">
        <is>
          <t>C4 attiva</t>
        </is>
      </c>
      <c r="E28" s="6" t="inlineStr"/>
      <c r="F28" s="6" t="inlineStr"/>
      <c r="G28" s="6" t="inlineStr"/>
      <c r="H28" s="14" t="inlineStr"/>
    </row>
    <row r="29">
      <c r="A29" s="15" t="inlineStr">
        <is>
          <t>E5(1-5)</t>
        </is>
      </c>
      <c r="B29" s="17" t="n">
        <v>5</v>
      </c>
      <c r="C29" s="17" t="inlineStr">
        <is>
          <t>M1-M5</t>
        </is>
      </c>
      <c r="D29" s="28" t="inlineStr">
        <is>
          <t>C5 attiva</t>
        </is>
      </c>
      <c r="E29" s="6" t="inlineStr"/>
      <c r="F29" s="6" t="inlineStr"/>
      <c r="G29" s="6" t="inlineStr"/>
      <c r="H29" s="14" t="inlineStr"/>
    </row>
    <row r="30">
      <c r="A30" s="15" t="inlineStr">
        <is>
          <t>E15</t>
        </is>
      </c>
      <c r="B30" s="17" t="n">
        <v>15</v>
      </c>
      <c r="C30" s="17" t="inlineStr">
        <is>
          <t>Tutti</t>
        </is>
      </c>
      <c r="D30" s="28" t="inlineStr">
        <is>
          <t>Lock</t>
        </is>
      </c>
      <c r="E30" s="6" t="inlineStr"/>
      <c r="F30" s="6" t="inlineStr"/>
      <c r="G30" s="6" t="inlineStr"/>
      <c r="H30" s="14" t="inlineStr"/>
    </row>
    <row r="32">
      <c r="A32" s="3" t="inlineStr">
        <is>
          <t>SINTESI</t>
        </is>
      </c>
    </row>
    <row r="33">
      <c r="A33" t="inlineStr">
        <is>
          <t>E0 Madre: alta vincita, bassa prob.</t>
        </is>
      </c>
    </row>
    <row r="34">
      <c r="A34" t="inlineStr">
        <is>
          <t>E1: la copertura ripristina il target se vince.</t>
        </is>
      </c>
    </row>
    <row r="35">
      <c r="A35" t="inlineStr">
        <is>
          <t>E2+: catene profonde, stake crescenti, stop-loss.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1" t="inlineStr">
        <is>
          <t>SCHEMA FORMULE</t>
        </is>
      </c>
    </row>
    <row r="3">
      <c r="A3" s="4" t="inlineStr">
        <is>
          <t>Parametro</t>
        </is>
      </c>
      <c r="B3" s="4" t="inlineStr">
        <is>
          <t>Formula</t>
        </is>
      </c>
      <c r="C3" s="4" t="inlineStr">
        <is>
          <t>Note</t>
        </is>
      </c>
    </row>
    <row r="4">
      <c r="A4" s="29" t="inlineStr">
        <is>
          <t>N_slip</t>
        </is>
      </c>
      <c r="B4" s="30" t="inlineStr">
        <is>
          <t>solo eventi PENDING</t>
        </is>
      </c>
      <c r="C4" s="31" t="inlineStr">
        <is>
          <t>per quote e bonus</t>
        </is>
      </c>
    </row>
    <row r="5">
      <c r="A5" s="29" t="inlineStr">
        <is>
          <t>raw</t>
        </is>
      </c>
      <c r="B5" s="30" t="inlineStr">
        <is>
          <t>1.32^N_slip</t>
        </is>
      </c>
      <c r="C5" s="31" t="inlineStr">
        <is>
          <t>PRODOTTO, non somma</t>
        </is>
      </c>
    </row>
    <row r="6">
      <c r="A6" s="29" t="inlineStr">
        <is>
          <t>bonus_pct</t>
        </is>
      </c>
      <c r="B6" s="30" t="inlineStr">
        <is>
          <t>Tabelle[N_slip]</t>
        </is>
      </c>
      <c r="C6" s="31" t="inlineStr">
        <is>
          <t>lookup 5-30 eventi</t>
        </is>
      </c>
    </row>
    <row r="7">
      <c r="A7" s="29" t="inlineStr">
        <is>
          <t>finale</t>
        </is>
      </c>
      <c r="B7" s="30" t="inlineStr">
        <is>
          <t>raw * (1 + bonus/100)</t>
        </is>
      </c>
      <c r="C7" s="31" t="inlineStr">
        <is>
          <t>moltiplicatore finale</t>
        </is>
      </c>
    </row>
    <row r="8">
      <c r="A8" s="29" t="inlineStr">
        <is>
          <t>stake_neutra</t>
        </is>
      </c>
      <c r="B8" s="30" t="inlineStr">
        <is>
          <t>(speso + T) / (finale - 1)</t>
        </is>
      </c>
      <c r="C8" s="31" t="inlineStr">
        <is>
          <t>arrotondata a 0.50 per eccesso</t>
        </is>
      </c>
    </row>
    <row r="9">
      <c r="A9" s="29" t="inlineStr">
        <is>
          <t>stake</t>
        </is>
      </c>
      <c r="B9" s="30" t="inlineStr">
        <is>
          <t>alfa * stake_neutra (alfa&gt;=1 primi step)</t>
        </is>
      </c>
      <c r="C9" s="31" t="inlineStr">
        <is>
          <t>mai sotto la neutra</t>
        </is>
      </c>
    </row>
    <row r="10">
      <c r="A10" s="29" t="inlineStr">
        <is>
          <t>spesa_cum</t>
        </is>
      </c>
      <c r="B10" s="30" t="inlineStr">
        <is>
          <t>speso_prev + stake</t>
        </is>
      </c>
      <c r="C10" s="31" t="inlineStr">
        <is>
          <t>costo effettivo</t>
        </is>
      </c>
    </row>
    <row r="11">
      <c r="A11" s="29" t="inlineStr">
        <is>
          <t>lordo</t>
        </is>
      </c>
      <c r="B11" s="30" t="inlineStr">
        <is>
          <t>stake * finale</t>
        </is>
      </c>
      <c r="C11" s="31" t="inlineStr">
        <is>
          <t>vincita ticket</t>
        </is>
      </c>
    </row>
    <row r="12">
      <c r="A12" s="29" t="inlineStr">
        <is>
          <t>netto</t>
        </is>
      </c>
      <c r="B12" s="30" t="inlineStr">
        <is>
          <t>lordo - spesa_cum</t>
        </is>
      </c>
      <c r="C12" s="31" t="inlineStr">
        <is>
          <t>profitto ciclo</t>
        </is>
      </c>
    </row>
    <row r="13">
      <c r="A13" s="29" t="inlineStr">
        <is>
          <t>N_internal</t>
        </is>
      </c>
      <c r="B13" s="30" t="inlineStr">
        <is>
          <t>confermate + pending</t>
        </is>
      </c>
      <c r="C13" s="31" t="inlineStr">
        <is>
          <t>SOLO per assicurazione, fuori dal computo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2026-09-06T16:56:48Z</dcterms:created>
  <dcterms:modified xmlns:dcterms="http://purl.org/dc/terms/" xmlns:xsi="http://www.w3.org/2001/XMLSchema-instance" xsi:type="dcterms:W3CDTF">2026-09-06T16:56:49Z</dcterms:modified>
</cp:coreProperties>
</file>