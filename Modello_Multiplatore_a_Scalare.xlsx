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elle" sheetId="1" state="visible" r:id="rId1"/>
    <sheet xmlns:r="http://schemas.openxmlformats.org/officeDocument/2006/relationships" name="Madre_S0" sheetId="2" state="visible" r:id="rId2"/>
    <sheet xmlns:r="http://schemas.openxmlformats.org/officeDocument/2006/relationships" name="Sequenza" sheetId="3" state="visible" r:id="rId3"/>
    <sheet xmlns:r="http://schemas.openxmlformats.org/officeDocument/2006/relationships" name="Simulazione" sheetId="4" state="visible" r:id="rId4"/>
    <sheet xmlns:r="http://schemas.openxmlformats.org/officeDocument/2006/relationships" name="Assicurazione" sheetId="5" state="visible" r:id="rId5"/>
    <sheet xmlns:r="http://schemas.openxmlformats.org/officeDocument/2006/relationships" name="Tutte_Situazioni" sheetId="6" state="visible" r:id="rId6"/>
    <sheet xmlns:r="http://schemas.openxmlformats.org/officeDocument/2006/relationships" name="Formu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0"/>
    <numFmt numFmtId="166" formatCode="0.0"/>
    <numFmt numFmtId="167" formatCode="0.0%"/>
  </numFmts>
  <fonts count="13">
    <font>
      <name val="Calibri"/>
      <family val="2"/>
      <color theme="1"/>
      <sz val="11"/>
      <scheme val="minor"/>
    </font>
    <font>
      <b val="1"/>
      <sz val="14"/>
    </font>
    <font>
      <b val="1"/>
      <color rgb="001F3864"/>
      <sz val="11"/>
    </font>
    <font>
      <b val="1"/>
      <color rgb="00FFFFFF"/>
      <sz val="11"/>
    </font>
    <font>
      <b val="1"/>
    </font>
    <font>
      <color rgb="000070C0"/>
      <sz val="10"/>
    </font>
    <font>
      <b val="1"/>
      <color rgb="00C00000"/>
      <sz val="12"/>
    </font>
    <font>
      <i val="1"/>
      <color rgb="000070C0"/>
    </font>
    <font>
      <b val="1"/>
      <sz val="12"/>
    </font>
    <font>
      <b val="1"/>
      <color rgb="00006100"/>
    </font>
    <font>
      <i val="1"/>
    </font>
    <font>
      <b val="1"/>
      <color rgb="000070C0"/>
    </font>
    <font>
      <color rgb="000070C0"/>
    </font>
  </fonts>
  <fills count="8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2F5496"/>
        <bgColor rgb="002F5496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2" fontId="0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2" fontId="9" fillId="5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TABELLE BONUS &amp; ASSICURAZIONE</t>
        </is>
      </c>
    </row>
    <row r="3">
      <c r="A3" s="2" t="inlineStr">
        <is>
          <t>TABELLA BONUS MULTIPLA</t>
        </is>
      </c>
    </row>
    <row r="4">
      <c r="A4" s="3" t="inlineStr">
        <is>
          <t>N Eventi</t>
        </is>
      </c>
      <c r="B4" s="3" t="inlineStr">
        <is>
          <t>% BONUS</t>
        </is>
      </c>
      <c r="C4" s="3" t="inlineStr">
        <is>
          <t>Molt. Raw (1.32^N)</t>
        </is>
      </c>
      <c r="D4" s="3" t="inlineStr">
        <is>
          <t>Molt. Finale</t>
        </is>
      </c>
      <c r="E4" s="3" t="inlineStr">
        <is>
          <t>Formula</t>
        </is>
      </c>
    </row>
    <row r="5">
      <c r="A5" s="4" t="n">
        <v>5</v>
      </c>
      <c r="B5" s="5" t="n">
        <v>6</v>
      </c>
      <c r="C5" s="6">
        <f>1.32^A5</f>
        <v/>
      </c>
      <c r="D5" s="6">
        <f>C5*(1+B5/100)</f>
        <v/>
      </c>
      <c r="E5" s="5" t="inlineStr">
        <is>
          <t>1.32^5 x (1 + 6.0%)</t>
        </is>
      </c>
    </row>
    <row r="6">
      <c r="A6" s="4" t="n">
        <v>6</v>
      </c>
      <c r="B6" s="5" t="n">
        <v>12.4</v>
      </c>
      <c r="C6" s="6">
        <f>1.32^A6</f>
        <v/>
      </c>
      <c r="D6" s="6">
        <f>C6*(1+B6/100)</f>
        <v/>
      </c>
      <c r="E6" s="5" t="inlineStr">
        <is>
          <t>1.32^6 x (1 + 12.4%)</t>
        </is>
      </c>
    </row>
    <row r="7">
      <c r="A7" s="4" t="n">
        <v>7</v>
      </c>
      <c r="B7" s="5" t="n">
        <v>19.1</v>
      </c>
      <c r="C7" s="6">
        <f>1.32^A7</f>
        <v/>
      </c>
      <c r="D7" s="6">
        <f>C7*(1+B7/100)</f>
        <v/>
      </c>
      <c r="E7" s="5" t="inlineStr">
        <is>
          <t>1.32^7 x (1 + 19.1%)</t>
        </is>
      </c>
    </row>
    <row r="8">
      <c r="A8" s="4" t="n">
        <v>8</v>
      </c>
      <c r="B8" s="5" t="n">
        <v>26.2</v>
      </c>
      <c r="C8" s="6">
        <f>1.32^A8</f>
        <v/>
      </c>
      <c r="D8" s="6">
        <f>C8*(1+B8/100)</f>
        <v/>
      </c>
      <c r="E8" s="5" t="inlineStr">
        <is>
          <t>1.32^8 x (1 + 26.2%)</t>
        </is>
      </c>
    </row>
    <row r="9">
      <c r="A9" s="4" t="n">
        <v>9</v>
      </c>
      <c r="B9" s="5" t="n">
        <v>33.8</v>
      </c>
      <c r="C9" s="6">
        <f>1.32^A9</f>
        <v/>
      </c>
      <c r="D9" s="6">
        <f>C9*(1+B9/100)</f>
        <v/>
      </c>
      <c r="E9" s="5" t="inlineStr">
        <is>
          <t>1.32^9 x (1 + 33.8%)</t>
        </is>
      </c>
    </row>
    <row r="10">
      <c r="A10" s="4" t="n">
        <v>10</v>
      </c>
      <c r="B10" s="5" t="n">
        <v>41.9</v>
      </c>
      <c r="C10" s="6">
        <f>1.32^A10</f>
        <v/>
      </c>
      <c r="D10" s="6">
        <f>C10*(1+B10/100)</f>
        <v/>
      </c>
      <c r="E10" s="5" t="inlineStr">
        <is>
          <t>1.32^10 x (1 + 41.9%)</t>
        </is>
      </c>
    </row>
    <row r="11">
      <c r="A11" s="4" t="n">
        <v>11</v>
      </c>
      <c r="B11" s="5" t="n">
        <v>50.4</v>
      </c>
      <c r="C11" s="6">
        <f>1.32^A11</f>
        <v/>
      </c>
      <c r="D11" s="6">
        <f>C11*(1+B11/100)</f>
        <v/>
      </c>
      <c r="E11" s="5" t="inlineStr">
        <is>
          <t>1.32^11 x (1 + 50.4%)</t>
        </is>
      </c>
    </row>
    <row r="12">
      <c r="A12" s="4" t="n">
        <v>12</v>
      </c>
      <c r="B12" s="5" t="n">
        <v>59.4</v>
      </c>
      <c r="C12" s="6">
        <f>1.32^A12</f>
        <v/>
      </c>
      <c r="D12" s="6">
        <f>C12*(1+B12/100)</f>
        <v/>
      </c>
      <c r="E12" s="5" t="inlineStr">
        <is>
          <t>1.32^12 x (1 + 59.4%)</t>
        </is>
      </c>
    </row>
    <row r="13">
      <c r="A13" s="4" t="n">
        <v>13</v>
      </c>
      <c r="B13" s="5" t="n">
        <v>68.90000000000001</v>
      </c>
      <c r="C13" s="6">
        <f>1.32^A13</f>
        <v/>
      </c>
      <c r="D13" s="6">
        <f>C13*(1+B13/100)</f>
        <v/>
      </c>
      <c r="E13" s="5" t="inlineStr">
        <is>
          <t>1.32^13 x (1 + 68.9%)</t>
        </is>
      </c>
    </row>
    <row r="14">
      <c r="A14" s="4" t="n">
        <v>14</v>
      </c>
      <c r="B14" s="5" t="n">
        <v>79.09999999999999</v>
      </c>
      <c r="C14" s="6">
        <f>1.32^A14</f>
        <v/>
      </c>
      <c r="D14" s="6">
        <f>C14*(1+B14/100)</f>
        <v/>
      </c>
      <c r="E14" s="5" t="inlineStr">
        <is>
          <t>1.32^14 x (1 + 79.1%)</t>
        </is>
      </c>
    </row>
    <row r="15">
      <c r="A15" s="4" t="n">
        <v>15</v>
      </c>
      <c r="B15" s="5" t="n">
        <v>89.8</v>
      </c>
      <c r="C15" s="6">
        <f>1.32^A15</f>
        <v/>
      </c>
      <c r="D15" s="6">
        <f>C15*(1+B15/100)</f>
        <v/>
      </c>
      <c r="E15" s="5" t="inlineStr">
        <is>
          <t>1.32^15 x (1 + 89.8%)</t>
        </is>
      </c>
    </row>
    <row r="16">
      <c r="A16" s="4" t="n">
        <v>16</v>
      </c>
      <c r="B16" s="5" t="n">
        <v>101.2</v>
      </c>
      <c r="C16" s="6">
        <f>1.32^A16</f>
        <v/>
      </c>
      <c r="D16" s="6">
        <f>C16*(1+B16/100)</f>
        <v/>
      </c>
      <c r="E16" s="5" t="inlineStr">
        <is>
          <t>1.32^16 x (1 + 101.2%)</t>
        </is>
      </c>
    </row>
    <row r="17">
      <c r="A17" s="4" t="n">
        <v>17</v>
      </c>
      <c r="B17" s="5" t="n">
        <v>113.3</v>
      </c>
      <c r="C17" s="6">
        <f>1.32^A17</f>
        <v/>
      </c>
      <c r="D17" s="6">
        <f>C17*(1+B17/100)</f>
        <v/>
      </c>
      <c r="E17" s="5" t="inlineStr">
        <is>
          <t>1.32^17 x (1 + 113.3%)</t>
        </is>
      </c>
    </row>
    <row r="18">
      <c r="A18" s="4" t="n">
        <v>18</v>
      </c>
      <c r="B18" s="5" t="n">
        <v>126.1</v>
      </c>
      <c r="C18" s="6">
        <f>1.32^A18</f>
        <v/>
      </c>
      <c r="D18" s="6">
        <f>C18*(1+B18/100)</f>
        <v/>
      </c>
      <c r="E18" s="5" t="inlineStr">
        <is>
          <t>1.32^18 x (1 + 126.1%)</t>
        </is>
      </c>
    </row>
    <row r="19">
      <c r="A19" s="4" t="n">
        <v>19</v>
      </c>
      <c r="B19" s="5" t="n">
        <v>139.7</v>
      </c>
      <c r="C19" s="6">
        <f>1.32^A19</f>
        <v/>
      </c>
      <c r="D19" s="6">
        <f>C19*(1+B19/100)</f>
        <v/>
      </c>
      <c r="E19" s="5" t="inlineStr">
        <is>
          <t>1.32^19 x (1 + 139.7%)</t>
        </is>
      </c>
    </row>
    <row r="20">
      <c r="A20" s="4" t="n">
        <v>20</v>
      </c>
      <c r="B20" s="5" t="n">
        <v>154</v>
      </c>
      <c r="C20" s="6">
        <f>1.32^A20</f>
        <v/>
      </c>
      <c r="D20" s="6">
        <f>C20*(1+B20/100)</f>
        <v/>
      </c>
      <c r="E20" s="5" t="inlineStr">
        <is>
          <t>1.32^20 x (1 + 154.0%)</t>
        </is>
      </c>
    </row>
    <row r="21">
      <c r="A21" s="4" t="n">
        <v>21</v>
      </c>
      <c r="B21" s="5" t="n">
        <v>169.3</v>
      </c>
      <c r="C21" s="6">
        <f>1.32^A21</f>
        <v/>
      </c>
      <c r="D21" s="6">
        <f>C21*(1+B21/100)</f>
        <v/>
      </c>
      <c r="E21" s="5" t="inlineStr">
        <is>
          <t>1.32^21 x (1 + 169.3%)</t>
        </is>
      </c>
    </row>
    <row r="22">
      <c r="A22" s="4" t="n">
        <v>22</v>
      </c>
      <c r="B22" s="5" t="n">
        <v>185.4</v>
      </c>
      <c r="C22" s="6">
        <f>1.32^A22</f>
        <v/>
      </c>
      <c r="D22" s="6">
        <f>C22*(1+B22/100)</f>
        <v/>
      </c>
      <c r="E22" s="5" t="inlineStr">
        <is>
          <t>1.32^22 x (1 + 185.4%)</t>
        </is>
      </c>
    </row>
    <row r="23">
      <c r="A23" s="4" t="n">
        <v>23</v>
      </c>
      <c r="B23" s="5" t="n">
        <v>202.6</v>
      </c>
      <c r="C23" s="6">
        <f>1.32^A23</f>
        <v/>
      </c>
      <c r="D23" s="6">
        <f>C23*(1+B23/100)</f>
        <v/>
      </c>
      <c r="E23" s="5" t="inlineStr">
        <is>
          <t>1.32^23 x (1 + 202.6%)</t>
        </is>
      </c>
    </row>
    <row r="24">
      <c r="A24" s="4" t="n">
        <v>24</v>
      </c>
      <c r="B24" s="5" t="n">
        <v>220.7</v>
      </c>
      <c r="C24" s="6">
        <f>1.32^A24</f>
        <v/>
      </c>
      <c r="D24" s="6">
        <f>C24*(1+B24/100)</f>
        <v/>
      </c>
      <c r="E24" s="5" t="inlineStr">
        <is>
          <t>1.32^24 x (1 + 220.7%)</t>
        </is>
      </c>
    </row>
    <row r="25">
      <c r="A25" s="4" t="n">
        <v>25</v>
      </c>
      <c r="B25" s="5" t="n">
        <v>240</v>
      </c>
      <c r="C25" s="6">
        <f>1.32^A25</f>
        <v/>
      </c>
      <c r="D25" s="6">
        <f>C25*(1+B25/100)</f>
        <v/>
      </c>
      <c r="E25" s="5" t="inlineStr">
        <is>
          <t>1.32^25 x (1 + 240.0%)</t>
        </is>
      </c>
    </row>
    <row r="26">
      <c r="A26" s="4" t="n">
        <v>26</v>
      </c>
      <c r="B26" s="5" t="n">
        <v>260.4</v>
      </c>
      <c r="C26" s="6">
        <f>1.32^A26</f>
        <v/>
      </c>
      <c r="D26" s="6">
        <f>C26*(1+B26/100)</f>
        <v/>
      </c>
      <c r="E26" s="5" t="inlineStr">
        <is>
          <t>1.32^26 x (1 + 260.4%)</t>
        </is>
      </c>
    </row>
    <row r="27">
      <c r="A27" s="4" t="n">
        <v>27</v>
      </c>
      <c r="B27" s="5" t="n">
        <v>282</v>
      </c>
      <c r="C27" s="6">
        <f>1.32^A27</f>
        <v/>
      </c>
      <c r="D27" s="6">
        <f>C27*(1+B27/100)</f>
        <v/>
      </c>
      <c r="E27" s="5" t="inlineStr">
        <is>
          <t>1.32^27 x (1 + 282.0%)</t>
        </is>
      </c>
    </row>
    <row r="28">
      <c r="A28" s="4" t="n">
        <v>28</v>
      </c>
      <c r="B28" s="5" t="n">
        <v>304.9</v>
      </c>
      <c r="C28" s="6">
        <f>1.32^A28</f>
        <v/>
      </c>
      <c r="D28" s="6">
        <f>C28*(1+B28/100)</f>
        <v/>
      </c>
      <c r="E28" s="5" t="inlineStr">
        <is>
          <t>1.32^28 x (1 + 304.9%)</t>
        </is>
      </c>
    </row>
    <row r="29">
      <c r="A29" s="4" t="n">
        <v>29</v>
      </c>
      <c r="B29" s="5" t="n">
        <v>329.2</v>
      </c>
      <c r="C29" s="6">
        <f>1.32^A29</f>
        <v/>
      </c>
      <c r="D29" s="6">
        <f>C29*(1+B29/100)</f>
        <v/>
      </c>
      <c r="E29" s="5" t="inlineStr">
        <is>
          <t>1.32^29 x (1 + 329.2%)</t>
        </is>
      </c>
    </row>
    <row r="30">
      <c r="A30" s="4" t="n">
        <v>30</v>
      </c>
      <c r="B30" s="5" t="n">
        <v>354.9</v>
      </c>
      <c r="C30" s="6">
        <f>1.32^A30</f>
        <v/>
      </c>
      <c r="D30" s="6">
        <f>C30*(1+B30/100)</f>
        <v/>
      </c>
      <c r="E30" s="5" t="inlineStr">
        <is>
          <t>1.32^30 x (1 + 354.9%)</t>
        </is>
      </c>
    </row>
    <row r="36">
      <c r="A36" s="2" t="inlineStr">
        <is>
          <t>TABELLA ASSICURAZIONE (7+ Eventi)</t>
        </is>
      </c>
    </row>
    <row r="37">
      <c r="A37" s="3" t="inlineStr">
        <is>
          <t>N Eventi</t>
        </is>
      </c>
      <c r="B37" s="3" t="inlineStr">
        <is>
          <t>1 Errore</t>
        </is>
      </c>
      <c r="C37" s="3" t="inlineStr">
        <is>
          <t>2 Errori</t>
        </is>
      </c>
      <c r="D37" s="3" t="inlineStr">
        <is>
          <t>3 Errori</t>
        </is>
      </c>
      <c r="E37" s="3" t="inlineStr">
        <is>
          <t>Rimborso Max</t>
        </is>
      </c>
    </row>
    <row r="38">
      <c r="A38" s="4" t="n">
        <v>4</v>
      </c>
      <c r="B38" s="5" t="n">
        <v>30</v>
      </c>
      <c r="C38" s="5" t="n">
        <v>10</v>
      </c>
      <c r="D38" s="5" t="n">
        <v>0</v>
      </c>
      <c r="E38" s="5" t="n">
        <v>50</v>
      </c>
    </row>
    <row r="39">
      <c r="A39" s="4" t="n">
        <v>5</v>
      </c>
      <c r="B39" s="5" t="n">
        <v>60</v>
      </c>
      <c r="C39" s="5" t="n">
        <v>30</v>
      </c>
      <c r="D39" s="5" t="n">
        <v>10</v>
      </c>
      <c r="E39" s="5" t="n">
        <v>50</v>
      </c>
    </row>
    <row r="40">
      <c r="A40" s="4" t="n">
        <v>6</v>
      </c>
      <c r="B40" s="5" t="n">
        <v>80</v>
      </c>
      <c r="C40" s="5" t="n">
        <v>60</v>
      </c>
      <c r="D40" s="5" t="n">
        <v>30</v>
      </c>
      <c r="E40" s="5" t="n">
        <v>50</v>
      </c>
    </row>
    <row r="41">
      <c r="A41" s="4" t="n">
        <v>7</v>
      </c>
      <c r="B41" s="5" t="n">
        <v>100</v>
      </c>
      <c r="C41" s="5" t="n">
        <v>80</v>
      </c>
      <c r="D41" s="5" t="n">
        <v>60</v>
      </c>
      <c r="E41" s="5" t="n">
        <v>50</v>
      </c>
    </row>
    <row r="44">
      <c r="A44" s="7" t="inlineStr">
        <is>
          <t>QUOTA MINIMA: 1.25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MADRE S0 - 12 EVENTI UNDER 3.5 @ 1.32</t>
        </is>
      </c>
    </row>
    <row r="2">
      <c r="A2" s="8" t="inlineStr">
        <is>
          <t>1 ticket attivo. Tutti gli eventi sono PENDING all'inizio.</t>
        </is>
      </c>
    </row>
    <row r="4">
      <c r="A4" s="3" t="inlineStr">
        <is>
          <t>#</t>
        </is>
      </c>
      <c r="B4" s="3" t="inlineStr">
        <is>
          <t>Squadra</t>
        </is>
      </c>
      <c r="C4" s="3" t="inlineStr">
        <is>
          <t>Mercato</t>
        </is>
      </c>
      <c r="D4" s="3" t="inlineStr">
        <is>
          <t>Quota</t>
        </is>
      </c>
      <c r="E4" s="3" t="inlineStr">
        <is>
          <t>Esito</t>
        </is>
      </c>
      <c r="F4" s="3" t="inlineStr">
        <is>
          <t>Confermato</t>
        </is>
      </c>
      <c r="G4" s="3" t="inlineStr">
        <is>
          <t>In Bonus?</t>
        </is>
      </c>
    </row>
    <row r="5">
      <c r="A5" s="4" t="n">
        <v>1</v>
      </c>
      <c r="B5" s="5" t="inlineStr">
        <is>
          <t>TeamA - TeamB</t>
        </is>
      </c>
      <c r="C5" s="5" t="inlineStr">
        <is>
          <t>UNDER 3.5</t>
        </is>
      </c>
      <c r="D5" s="9" t="n">
        <v>1.32</v>
      </c>
      <c r="E5" s="10" t="inlineStr">
        <is>
          <t>PENDING</t>
        </is>
      </c>
      <c r="F5" s="5" t="inlineStr">
        <is>
          <t>NO</t>
        </is>
      </c>
      <c r="G5" s="11" t="inlineStr">
        <is>
          <t>SI</t>
        </is>
      </c>
    </row>
    <row r="6">
      <c r="A6" s="4" t="n">
        <v>2</v>
      </c>
      <c r="B6" s="5" t="inlineStr">
        <is>
          <t>TeamC - TeamD</t>
        </is>
      </c>
      <c r="C6" s="5" t="inlineStr">
        <is>
          <t>UNDER 3.5</t>
        </is>
      </c>
      <c r="D6" s="9" t="n">
        <v>1.32</v>
      </c>
      <c r="E6" s="10" t="inlineStr">
        <is>
          <t>PENDING</t>
        </is>
      </c>
      <c r="F6" s="5" t="inlineStr">
        <is>
          <t>NO</t>
        </is>
      </c>
      <c r="G6" s="11" t="inlineStr">
        <is>
          <t>SI</t>
        </is>
      </c>
    </row>
    <row r="7">
      <c r="A7" s="4" t="n">
        <v>3</v>
      </c>
      <c r="B7" s="5" t="inlineStr">
        <is>
          <t>TeamE - TeamF</t>
        </is>
      </c>
      <c r="C7" s="5" t="inlineStr">
        <is>
          <t>UNDER 3.5</t>
        </is>
      </c>
      <c r="D7" s="9" t="n">
        <v>1.32</v>
      </c>
      <c r="E7" s="10" t="inlineStr">
        <is>
          <t>PENDING</t>
        </is>
      </c>
      <c r="F7" s="5" t="inlineStr">
        <is>
          <t>NO</t>
        </is>
      </c>
      <c r="G7" s="11" t="inlineStr">
        <is>
          <t>SI</t>
        </is>
      </c>
    </row>
    <row r="8">
      <c r="A8" s="4" t="n">
        <v>4</v>
      </c>
      <c r="B8" s="5" t="inlineStr">
        <is>
          <t>TeamG - TeamH</t>
        </is>
      </c>
      <c r="C8" s="5" t="inlineStr">
        <is>
          <t>UNDER 3.5</t>
        </is>
      </c>
      <c r="D8" s="9" t="n">
        <v>1.32</v>
      </c>
      <c r="E8" s="10" t="inlineStr">
        <is>
          <t>PENDING</t>
        </is>
      </c>
      <c r="F8" s="5" t="inlineStr">
        <is>
          <t>NO</t>
        </is>
      </c>
      <c r="G8" s="11" t="inlineStr">
        <is>
          <t>SI</t>
        </is>
      </c>
    </row>
    <row r="9">
      <c r="A9" s="4" t="n">
        <v>5</v>
      </c>
      <c r="B9" s="5" t="inlineStr">
        <is>
          <t>TeamI - TeamL</t>
        </is>
      </c>
      <c r="C9" s="5" t="inlineStr">
        <is>
          <t>UNDER 3.5</t>
        </is>
      </c>
      <c r="D9" s="9" t="n">
        <v>1.32</v>
      </c>
      <c r="E9" s="10" t="inlineStr">
        <is>
          <t>PENDING</t>
        </is>
      </c>
      <c r="F9" s="5" t="inlineStr">
        <is>
          <t>NO</t>
        </is>
      </c>
      <c r="G9" s="11" t="inlineStr">
        <is>
          <t>SI</t>
        </is>
      </c>
    </row>
    <row r="10">
      <c r="A10" s="4" t="n">
        <v>6</v>
      </c>
      <c r="B10" s="5" t="inlineStr">
        <is>
          <t>TeamM - TeamN</t>
        </is>
      </c>
      <c r="C10" s="5" t="inlineStr">
        <is>
          <t>UNDER 3.5</t>
        </is>
      </c>
      <c r="D10" s="9" t="n">
        <v>1.32</v>
      </c>
      <c r="E10" s="10" t="inlineStr">
        <is>
          <t>PENDING</t>
        </is>
      </c>
      <c r="F10" s="5" t="inlineStr">
        <is>
          <t>NO</t>
        </is>
      </c>
      <c r="G10" s="11" t="inlineStr">
        <is>
          <t>SI</t>
        </is>
      </c>
    </row>
    <row r="11">
      <c r="A11" s="4" t="n">
        <v>7</v>
      </c>
      <c r="B11" s="5" t="inlineStr">
        <is>
          <t>TeamO - TeamP</t>
        </is>
      </c>
      <c r="C11" s="5" t="inlineStr">
        <is>
          <t>UNDER 3.5</t>
        </is>
      </c>
      <c r="D11" s="9" t="n">
        <v>1.32</v>
      </c>
      <c r="E11" s="10" t="inlineStr">
        <is>
          <t>PENDING</t>
        </is>
      </c>
      <c r="F11" s="5" t="inlineStr">
        <is>
          <t>NO</t>
        </is>
      </c>
      <c r="G11" s="11" t="inlineStr">
        <is>
          <t>SI</t>
        </is>
      </c>
    </row>
    <row r="12">
      <c r="A12" s="4" t="n">
        <v>8</v>
      </c>
      <c r="B12" s="5" t="inlineStr">
        <is>
          <t>TeamQ - TeamR</t>
        </is>
      </c>
      <c r="C12" s="5" t="inlineStr">
        <is>
          <t>UNDER 3.5</t>
        </is>
      </c>
      <c r="D12" s="9" t="n">
        <v>1.32</v>
      </c>
      <c r="E12" s="10" t="inlineStr">
        <is>
          <t>PENDING</t>
        </is>
      </c>
      <c r="F12" s="5" t="inlineStr">
        <is>
          <t>NO</t>
        </is>
      </c>
      <c r="G12" s="11" t="inlineStr">
        <is>
          <t>SI</t>
        </is>
      </c>
    </row>
    <row r="13">
      <c r="A13" s="4" t="n">
        <v>9</v>
      </c>
      <c r="B13" s="5" t="inlineStr">
        <is>
          <t>TeamS - TeamT</t>
        </is>
      </c>
      <c r="C13" s="5" t="inlineStr">
        <is>
          <t>UNDER 3.5</t>
        </is>
      </c>
      <c r="D13" s="9" t="n">
        <v>1.32</v>
      </c>
      <c r="E13" s="10" t="inlineStr">
        <is>
          <t>PENDING</t>
        </is>
      </c>
      <c r="F13" s="5" t="inlineStr">
        <is>
          <t>NO</t>
        </is>
      </c>
      <c r="G13" s="11" t="inlineStr">
        <is>
          <t>SI</t>
        </is>
      </c>
    </row>
    <row r="14">
      <c r="A14" s="4" t="n">
        <v>10</v>
      </c>
      <c r="B14" s="5" t="inlineStr">
        <is>
          <t>TeamU - TeamV</t>
        </is>
      </c>
      <c r="C14" s="5" t="inlineStr">
        <is>
          <t>UNDER 3.5</t>
        </is>
      </c>
      <c r="D14" s="9" t="n">
        <v>1.32</v>
      </c>
      <c r="E14" s="10" t="inlineStr">
        <is>
          <t>PENDING</t>
        </is>
      </c>
      <c r="F14" s="5" t="inlineStr">
        <is>
          <t>NO</t>
        </is>
      </c>
      <c r="G14" s="11" t="inlineStr">
        <is>
          <t>SI</t>
        </is>
      </c>
    </row>
    <row r="15">
      <c r="A15" s="4" t="n">
        <v>11</v>
      </c>
      <c r="B15" s="5" t="inlineStr">
        <is>
          <t>TeamW - TeamX</t>
        </is>
      </c>
      <c r="C15" s="5" t="inlineStr">
        <is>
          <t>UNDER 3.5</t>
        </is>
      </c>
      <c r="D15" s="9" t="n">
        <v>1.32</v>
      </c>
      <c r="E15" s="10" t="inlineStr">
        <is>
          <t>PENDING</t>
        </is>
      </c>
      <c r="F15" s="5" t="inlineStr">
        <is>
          <t>NO</t>
        </is>
      </c>
      <c r="G15" s="11" t="inlineStr">
        <is>
          <t>SI</t>
        </is>
      </c>
    </row>
    <row r="16">
      <c r="A16" s="4" t="n">
        <v>12</v>
      </c>
      <c r="B16" s="5" t="inlineStr">
        <is>
          <t>TeamY - TeamZ</t>
        </is>
      </c>
      <c r="C16" s="5" t="inlineStr">
        <is>
          <t>UNDER 3.5</t>
        </is>
      </c>
      <c r="D16" s="9" t="n">
        <v>1.32</v>
      </c>
      <c r="E16" s="10" t="inlineStr">
        <is>
          <t>PENDING</t>
        </is>
      </c>
      <c r="F16" s="5" t="inlineStr">
        <is>
          <t>NO</t>
        </is>
      </c>
      <c r="G16" s="11" t="inlineStr">
        <is>
          <t>SI</t>
        </is>
      </c>
    </row>
    <row r="20">
      <c r="A20" s="2" t="inlineStr">
        <is>
          <t>CALCOLO MADRE</t>
        </is>
      </c>
    </row>
    <row r="21">
      <c r="A21" t="inlineStr">
        <is>
          <t>N eventi totali</t>
        </is>
      </c>
      <c r="B21" t="n">
        <v>12</v>
      </c>
    </row>
    <row r="22">
      <c r="A22" t="inlineStr">
        <is>
          <t>Quota Under</t>
        </is>
      </c>
      <c r="B22" t="n">
        <v>1.32</v>
      </c>
    </row>
    <row r="23">
      <c r="A23" t="inlineStr">
        <is>
          <t>Raw multipla = 1.32^N</t>
        </is>
      </c>
      <c r="B23" s="12">
        <f>B22^B21</f>
        <v/>
      </c>
    </row>
    <row r="24">
      <c r="A24" t="inlineStr">
        <is>
          <t>N per BONUS (tutte pending)</t>
        </is>
      </c>
      <c r="B24" s="5">
        <f>MIN(B21,12)</f>
        <v/>
      </c>
    </row>
    <row r="25">
      <c r="A25" t="inlineStr">
        <is>
          <t>% BONUS (da tabella)</t>
        </is>
      </c>
      <c r="B25" s="13" t="n">
        <v>59.4</v>
      </c>
    </row>
    <row r="26">
      <c r="A26" t="inlineStr">
        <is>
          <t>Moltiplicatore FINALE</t>
        </is>
      </c>
      <c r="B26" s="14">
        <f>B23*(1+B25/100)</f>
        <v/>
      </c>
    </row>
    <row r="27">
      <c r="A27" t="inlineStr">
        <is>
          <t>Stake (round 50c)</t>
        </is>
      </c>
      <c r="B27" s="9" t="n">
        <v>2</v>
      </c>
    </row>
    <row r="28">
      <c r="A28" t="inlineStr">
        <is>
          <t>Vincita Lorda</t>
        </is>
      </c>
      <c r="B28" s="15">
        <f>B27*B26</f>
        <v/>
      </c>
    </row>
    <row r="29">
      <c r="A29" t="inlineStr">
        <is>
          <t>Target Profit</t>
        </is>
      </c>
      <c r="B29" t="n">
        <v>45</v>
      </c>
    </row>
    <row r="30">
      <c r="A30" t="inlineStr">
        <is>
          <t>Costo Totale ciclo</t>
        </is>
      </c>
      <c r="B30" s="9" t="n">
        <v>221</v>
      </c>
    </row>
    <row r="31">
      <c r="A31" t="inlineStr">
        <is>
          <t>EV con assicurazione</t>
        </is>
      </c>
      <c r="B31" s="15">
        <f>(0.025*B28)-(0.51*B30)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TIMELINE SEQUENZIALE - UN SOLO TICKET ATTIVO</t>
        </is>
      </c>
    </row>
    <row r="2">
      <c r="A2" s="8" t="inlineStr">
        <is>
          <t>Regola: solo 1 ticket attivo alla volta. Dopo ogni esito, si piazza il successivo.</t>
        </is>
      </c>
    </row>
    <row r="4">
      <c r="A4" s="3" t="inlineStr">
        <is>
          <t>Step</t>
        </is>
      </c>
      <c r="B4" s="3" t="inlineStr">
        <is>
          <t>Tipo</t>
        </is>
      </c>
      <c r="C4" s="3" t="inlineStr">
        <is>
          <t>Eventi Totali (N_int)</t>
        </is>
      </c>
      <c r="D4" s="3" t="inlineStr">
        <is>
          <t>N_pending (N_slip)</t>
        </is>
      </c>
      <c r="E4" s="3" t="inlineStr">
        <is>
          <t>% BONUS</t>
        </is>
      </c>
      <c r="F4" s="3" t="inlineStr">
        <is>
          <t>Quote Raw</t>
        </is>
      </c>
      <c r="G4" s="3" t="inlineStr">
        <is>
          <t>Molt.Finale</t>
        </is>
      </c>
      <c r="H4" s="3" t="inlineStr">
        <is>
          <t>Stake</t>
        </is>
      </c>
      <c r="I4" s="3" t="inlineStr">
        <is>
          <t>Cumulative Spesa</t>
        </is>
      </c>
      <c r="J4" s="3" t="inlineStr">
        <is>
          <t>Esito</t>
        </is>
      </c>
    </row>
    <row r="5">
      <c r="A5" s="4" t="inlineStr">
        <is>
          <t>S0</t>
        </is>
      </c>
      <c r="B5" s="5" t="inlineStr">
        <is>
          <t>Madre</t>
        </is>
      </c>
      <c r="C5" s="5" t="n">
        <v>12</v>
      </c>
      <c r="D5" s="5" t="n">
        <v>12</v>
      </c>
      <c r="E5" s="13" t="n">
        <v>59.4</v>
      </c>
      <c r="F5" s="6">
        <f>3*1.32^D5</f>
        <v/>
      </c>
      <c r="G5" s="16">
        <f>F5*(1+E5/100)</f>
        <v/>
      </c>
      <c r="H5" s="17" t="n">
        <v>2</v>
      </c>
      <c r="I5" s="17" t="n">
        <v>22</v>
      </c>
      <c r="J5" s="5" t="inlineStr">
        <is>
          <t>PENDING</t>
        </is>
      </c>
    </row>
    <row r="6">
      <c r="A6" s="4" t="inlineStr">
        <is>
          <t>C1</t>
        </is>
      </c>
      <c r="B6" s="5" t="inlineStr">
        <is>
          <t>Copertura</t>
        </is>
      </c>
      <c r="C6" s="5" t="n">
        <v>11</v>
      </c>
      <c r="D6" s="5" t="n">
        <v>10</v>
      </c>
      <c r="E6" s="13" t="n">
        <v>50.4</v>
      </c>
      <c r="F6" s="6">
        <f>3*1.32^11</f>
        <v/>
      </c>
      <c r="G6" s="6">
        <f>F6*(1+E6/100)</f>
        <v/>
      </c>
      <c r="H6" s="9">
        <f>ROUND((I5+45)/(G6-1),0)</f>
        <v/>
      </c>
      <c r="I6" s="9">
        <f>I5+H6</f>
        <v/>
      </c>
      <c r="J6" s="18" t="inlineStr">
        <is>
          <t>CONDIZIONALE</t>
        </is>
      </c>
    </row>
    <row r="7">
      <c r="A7" s="4" t="inlineStr">
        <is>
          <t>C2</t>
        </is>
      </c>
      <c r="B7" s="5" t="inlineStr">
        <is>
          <t>Copertura</t>
        </is>
      </c>
      <c r="C7" s="5" t="n">
        <v>10</v>
      </c>
      <c r="D7" s="5" t="n">
        <v>9</v>
      </c>
      <c r="E7" s="13" t="n">
        <v>41.9</v>
      </c>
      <c r="F7" s="6">
        <f>3*1.32^10</f>
        <v/>
      </c>
      <c r="G7" s="6">
        <f>F7*(1+E7/100)</f>
        <v/>
      </c>
      <c r="H7" s="9">
        <f>ROUND((I6+45)/(G7-1),0)</f>
        <v/>
      </c>
      <c r="I7" s="9">
        <f>I6+H7</f>
        <v/>
      </c>
      <c r="J7" s="18" t="inlineStr">
        <is>
          <t>CONDIZIONALE</t>
        </is>
      </c>
    </row>
    <row r="8">
      <c r="A8" s="4" t="inlineStr">
        <is>
          <t>C3</t>
        </is>
      </c>
      <c r="B8" s="5" t="inlineStr">
        <is>
          <t>Copertura</t>
        </is>
      </c>
      <c r="C8" s="5" t="n">
        <v>9</v>
      </c>
      <c r="D8" s="5" t="n">
        <v>8</v>
      </c>
      <c r="E8" s="13" t="n">
        <v>33.8</v>
      </c>
      <c r="F8" s="6">
        <f>3*1.32^9</f>
        <v/>
      </c>
      <c r="G8" s="6">
        <f>F8*(1+E8/100)</f>
        <v/>
      </c>
      <c r="H8" s="9">
        <f>ROUND((I7+45)/(G8-1),0)</f>
        <v/>
      </c>
      <c r="I8" s="9">
        <f>I7+H8</f>
        <v/>
      </c>
      <c r="J8" s="18" t="inlineStr">
        <is>
          <t>CONDIZIONALE</t>
        </is>
      </c>
    </row>
    <row r="9">
      <c r="A9" s="4" t="inlineStr">
        <is>
          <t>C4</t>
        </is>
      </c>
      <c r="B9" s="5" t="inlineStr">
        <is>
          <t>Copertura</t>
        </is>
      </c>
      <c r="C9" s="5" t="n">
        <v>8</v>
      </c>
      <c r="D9" s="5" t="n">
        <v>7</v>
      </c>
      <c r="E9" s="13" t="n">
        <v>26.2</v>
      </c>
      <c r="F9" s="6">
        <f>3*1.32^8</f>
        <v/>
      </c>
      <c r="G9" s="6">
        <f>F9*(1+E9/100)</f>
        <v/>
      </c>
      <c r="H9" s="9">
        <f>ROUND((I8+45)/(G9-1),0)</f>
        <v/>
      </c>
      <c r="I9" s="9">
        <f>I8+H9</f>
        <v/>
      </c>
      <c r="J9" s="18" t="inlineStr">
        <is>
          <t>CONDIZIONALE</t>
        </is>
      </c>
    </row>
    <row r="10">
      <c r="A10" s="4" t="inlineStr">
        <is>
          <t>C5</t>
        </is>
      </c>
      <c r="B10" s="5" t="inlineStr">
        <is>
          <t>Copertura</t>
        </is>
      </c>
      <c r="C10" s="5" t="n">
        <v>7</v>
      </c>
      <c r="D10" s="5" t="n">
        <v>6</v>
      </c>
      <c r="E10" s="13" t="n">
        <v>19.1</v>
      </c>
      <c r="F10" s="6">
        <f>3*1.32^7</f>
        <v/>
      </c>
      <c r="G10" s="6">
        <f>F10*(1+E10/100)</f>
        <v/>
      </c>
      <c r="H10" s="9">
        <f>ROUND((I9+45)/(G10-1),0)</f>
        <v/>
      </c>
      <c r="I10" s="9">
        <f>I9+H10</f>
        <v/>
      </c>
      <c r="J10" s="18" t="inlineStr">
        <is>
          <t>CONDIZIONALE</t>
        </is>
      </c>
    </row>
    <row r="11">
      <c r="A11" s="4" t="inlineStr">
        <is>
          <t>C6</t>
        </is>
      </c>
      <c r="B11" s="5" t="inlineStr">
        <is>
          <t>Copertura</t>
        </is>
      </c>
      <c r="C11" s="5" t="n">
        <v>6</v>
      </c>
      <c r="D11" s="5" t="n">
        <v>5</v>
      </c>
      <c r="E11" s="13" t="n">
        <v>12.4</v>
      </c>
      <c r="F11" s="6">
        <f>3*1.32^6</f>
        <v/>
      </c>
      <c r="G11" s="6">
        <f>F11*(1+E11/100)</f>
        <v/>
      </c>
      <c r="H11" s="9">
        <f>ROUND((I10+45)/(G11-1),0)</f>
        <v/>
      </c>
      <c r="I11" s="9">
        <f>I10+H11</f>
        <v/>
      </c>
      <c r="J11" s="18" t="inlineStr">
        <is>
          <t>CONDIZIONALE</t>
        </is>
      </c>
    </row>
    <row r="12">
      <c r="A12" s="4" t="inlineStr">
        <is>
          <t>C7</t>
        </is>
      </c>
      <c r="B12" s="5" t="inlineStr">
        <is>
          <t>Copertura</t>
        </is>
      </c>
      <c r="C12" s="5" t="n">
        <v>5</v>
      </c>
      <c r="D12" s="5" t="n">
        <v>4</v>
      </c>
      <c r="E12" s="13" t="n">
        <v>6</v>
      </c>
      <c r="F12" s="6">
        <f>3*1.32^5</f>
        <v/>
      </c>
      <c r="G12" s="6">
        <f>F12*(1+E12/100)</f>
        <v/>
      </c>
      <c r="H12" s="9">
        <f>ROUND((I11+45)/(G12-1),0)</f>
        <v/>
      </c>
      <c r="I12" s="9">
        <f>I11+H12</f>
        <v/>
      </c>
      <c r="J12" s="18" t="inlineStr">
        <is>
          <t>CONDIZIONALE</t>
        </is>
      </c>
    </row>
    <row r="13">
      <c r="A13" s="4" t="inlineStr">
        <is>
          <t>C8</t>
        </is>
      </c>
      <c r="B13" s="5" t="inlineStr">
        <is>
          <t>Copertura</t>
        </is>
      </c>
      <c r="C13" s="5" t="n">
        <v>4</v>
      </c>
      <c r="D13" s="5" t="n">
        <v>3</v>
      </c>
      <c r="E13" s="13" t="n">
        <v>0</v>
      </c>
      <c r="F13" s="6">
        <f>3*1.32^4</f>
        <v/>
      </c>
      <c r="G13" s="6">
        <f>F13*(1+E13/100)</f>
        <v/>
      </c>
      <c r="H13" s="9">
        <f>ROUND((I12+45)/(G13-1),0)</f>
        <v/>
      </c>
      <c r="I13" s="9">
        <f>I12+H13</f>
        <v/>
      </c>
      <c r="J13" s="18" t="inlineStr">
        <is>
          <t>CONDIZIONALE</t>
        </is>
      </c>
    </row>
    <row r="14">
      <c r="A14" s="4" t="inlineStr">
        <is>
          <t>C9</t>
        </is>
      </c>
      <c r="B14" s="5" t="inlineStr">
        <is>
          <t>Copertura</t>
        </is>
      </c>
      <c r="C14" s="5" t="n">
        <v>3</v>
      </c>
      <c r="D14" s="5" t="n">
        <v>2</v>
      </c>
      <c r="E14" s="13" t="n">
        <v>0</v>
      </c>
      <c r="F14" s="6">
        <f>3*1.32^3</f>
        <v/>
      </c>
      <c r="G14" s="6">
        <f>F14*(1+E14/100)</f>
        <v/>
      </c>
      <c r="H14" s="9">
        <f>ROUND((I13+45)/(G14-1),0)</f>
        <v/>
      </c>
      <c r="I14" s="9">
        <f>I13+H14</f>
        <v/>
      </c>
      <c r="J14" s="18" t="inlineStr">
        <is>
          <t>CONDIZIONALE</t>
        </is>
      </c>
    </row>
    <row r="15">
      <c r="A15" s="4" t="inlineStr">
        <is>
          <t>C10</t>
        </is>
      </c>
      <c r="B15" s="5" t="inlineStr">
        <is>
          <t>Copertura</t>
        </is>
      </c>
      <c r="C15" s="5" t="n">
        <v>2</v>
      </c>
      <c r="D15" s="5" t="n">
        <v>1</v>
      </c>
      <c r="E15" s="13" t="n">
        <v>0</v>
      </c>
      <c r="F15" s="6">
        <f>3*1.32^2</f>
        <v/>
      </c>
      <c r="G15" s="6">
        <f>F15*(1+E15/100)</f>
        <v/>
      </c>
      <c r="H15" s="9">
        <f>ROUND((I14+45)/(G15-1),0)</f>
        <v/>
      </c>
      <c r="I15" s="9">
        <f>I14+H15</f>
        <v/>
      </c>
      <c r="J15" s="18" t="inlineStr">
        <is>
          <t>CONDIZIONALE</t>
        </is>
      </c>
    </row>
    <row r="16">
      <c r="A16" s="4" t="inlineStr">
        <is>
          <t>EX</t>
        </is>
      </c>
      <c r="B16" s="5" t="inlineStr">
        <is>
          <t>Exchange</t>
        </is>
      </c>
      <c r="C16" s="5" t="n">
        <v>1</v>
      </c>
      <c r="D16" s="5" t="n">
        <v>0</v>
      </c>
      <c r="E16" s="13" t="n">
        <v>0</v>
      </c>
      <c r="F16" s="19" t="n">
        <v>2.75</v>
      </c>
      <c r="G16" s="16">
        <f>F16</f>
        <v/>
      </c>
      <c r="H16" s="9">
        <f>ROUND((I15+45)/(G16-1),0)</f>
        <v/>
      </c>
      <c r="I16" s="9">
        <f>I15+H16</f>
        <v/>
      </c>
      <c r="J16" s="11" t="inlineStr">
        <is>
          <t>LOCK</t>
        </is>
      </c>
    </row>
    <row r="19">
      <c r="A19" s="2" t="inlineStr">
        <is>
          <t>RIEPILOGO</t>
        </is>
      </c>
    </row>
    <row r="20">
      <c r="A20" t="inlineStr">
        <is>
          <t>Costo Madre S0</t>
        </is>
      </c>
      <c r="B20" s="9" t="n">
        <v>22</v>
      </c>
    </row>
    <row r="21">
      <c r="A21" t="inlineStr">
        <is>
          <t>Costo Totale Ciclo (fino a lock)</t>
        </is>
      </c>
      <c r="B21" s="20">
        <f>SUM(H5:H16)</f>
        <v/>
      </c>
    </row>
    <row r="22">
      <c r="A22" t="inlineStr">
        <is>
          <t>Vincita se S0 vince</t>
        </is>
      </c>
      <c r="B22" s="15">
        <f>G5*H5</f>
        <v/>
      </c>
    </row>
    <row r="23">
      <c r="A23" t="inlineStr">
        <is>
          <t>Vincita se C7 vince</t>
        </is>
      </c>
      <c r="B23" s="9">
        <f>G12*H12</f>
        <v/>
      </c>
    </row>
    <row r="24">
      <c r="A24" t="inlineStr">
        <is>
          <t>Vincita Lock Exchange</t>
        </is>
      </c>
      <c r="B24" s="15">
        <f>G16*H16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SIMULAZIONE - Over al 4° evento</t>
        </is>
      </c>
    </row>
    <row r="2">
      <c r="A2" s="8" t="inlineStr">
        <is>
          <t>M1-M3 UNDER, M4 OVER. Dopo M4, S0 muore e C4 diventa ticket attivo.</t>
        </is>
      </c>
    </row>
    <row r="4">
      <c r="A4" s="3" t="inlineStr">
        <is>
          <t>#</t>
        </is>
      </c>
      <c r="B4" s="3" t="inlineStr">
        <is>
          <t>Partita</t>
        </is>
      </c>
      <c r="C4" s="3" t="inlineStr">
        <is>
          <t>Esito</t>
        </is>
      </c>
      <c r="D4" s="3" t="inlineStr">
        <is>
          <t>Ticket Attivo</t>
        </is>
      </c>
      <c r="E4" s="3" t="inlineStr">
        <is>
          <t>N_total</t>
        </is>
      </c>
      <c r="F4" s="3" t="inlineStr">
        <is>
          <t>N_pending</t>
        </is>
      </c>
      <c r="G4" s="3" t="inlineStr">
        <is>
          <t>% Bonus</t>
        </is>
      </c>
      <c r="H4" s="3" t="inlineStr">
        <is>
          <t>Quote Raw</t>
        </is>
      </c>
      <c r="I4" s="3" t="inlineStr">
        <is>
          <t>Molt.Finale</t>
        </is>
      </c>
      <c r="J4" s="3" t="inlineStr">
        <is>
          <t>Stake</t>
        </is>
      </c>
      <c r="K4" s="3" t="inlineStr">
        <is>
          <t>Cumulative</t>
        </is>
      </c>
      <c r="L4" s="3" t="inlineStr">
        <is>
          <t>Esito Ticket</t>
        </is>
      </c>
    </row>
    <row r="5">
      <c r="A5" s="4" t="n">
        <v>1</v>
      </c>
      <c r="B5" s="5" t="inlineStr">
        <is>
          <t>M1</t>
        </is>
      </c>
      <c r="C5" s="5" t="inlineStr">
        <is>
          <t>UNDER</t>
        </is>
      </c>
      <c r="D5" s="5" t="inlineStr">
        <is>
          <t>S0</t>
        </is>
      </c>
      <c r="E5" s="5" t="n">
        <v>12</v>
      </c>
      <c r="F5" s="5" t="n">
        <v>12</v>
      </c>
      <c r="G5" s="13" t="n">
        <v>59.4</v>
      </c>
      <c r="H5" s="6">
        <f>3*1.32^F5</f>
        <v/>
      </c>
      <c r="I5" s="6">
        <f>H5*(1+G5/100)</f>
        <v/>
      </c>
      <c r="J5" s="17" t="n">
        <v>2</v>
      </c>
      <c r="K5" s="17" t="n">
        <v>22</v>
      </c>
      <c r="L5" s="11" t="inlineStr">
        <is>
          <t>ATTIVO</t>
        </is>
      </c>
    </row>
    <row r="6">
      <c r="A6" s="4" t="n">
        <v>2</v>
      </c>
      <c r="B6" s="5" t="inlineStr">
        <is>
          <t>M2</t>
        </is>
      </c>
      <c r="C6" s="5" t="inlineStr">
        <is>
          <t>UNDER</t>
        </is>
      </c>
      <c r="D6" s="5" t="inlineStr">
        <is>
          <t>S0</t>
        </is>
      </c>
      <c r="E6" s="5" t="n">
        <v>12</v>
      </c>
      <c r="F6" s="5" t="n">
        <v>12</v>
      </c>
      <c r="G6" s="13" t="n">
        <v>59.4</v>
      </c>
      <c r="H6" s="6">
        <f>3*1.32^F6</f>
        <v/>
      </c>
      <c r="I6" s="6">
        <f>H6*(1+G6/100)</f>
        <v/>
      </c>
      <c r="K6" s="9">
        <f>K5</f>
        <v/>
      </c>
      <c r="L6" s="11" t="inlineStr">
        <is>
          <t>ATTIVO</t>
        </is>
      </c>
    </row>
    <row r="7">
      <c r="A7" s="4" t="n">
        <v>3</v>
      </c>
      <c r="B7" s="5" t="inlineStr">
        <is>
          <t>M3</t>
        </is>
      </c>
      <c r="C7" s="5" t="inlineStr">
        <is>
          <t>UNDER</t>
        </is>
      </c>
      <c r="D7" s="5" t="inlineStr">
        <is>
          <t>S0</t>
        </is>
      </c>
      <c r="E7" s="5" t="n">
        <v>12</v>
      </c>
      <c r="F7" s="5" t="n">
        <v>12</v>
      </c>
      <c r="G7" s="13" t="n">
        <v>59.4</v>
      </c>
      <c r="H7" s="6">
        <f>3*1.32^F7</f>
        <v/>
      </c>
      <c r="I7" s="6">
        <f>H7*(1+G7/100)</f>
        <v/>
      </c>
      <c r="K7" s="9">
        <f>K6</f>
        <v/>
      </c>
      <c r="L7" s="11" t="inlineStr">
        <is>
          <t>ATTIVO</t>
        </is>
      </c>
    </row>
    <row r="8">
      <c r="A8" s="4" t="n">
        <v>4</v>
      </c>
      <c r="B8" s="5" t="inlineStr">
        <is>
          <t>M4</t>
        </is>
      </c>
      <c r="C8" s="5" t="inlineStr">
        <is>
          <t>OVER</t>
        </is>
      </c>
      <c r="D8" s="5" t="inlineStr">
        <is>
          <t>S0-&gt;C4</t>
        </is>
      </c>
      <c r="E8" s="5" t="n">
        <v>8</v>
      </c>
      <c r="F8" s="5" t="n">
        <v>7</v>
      </c>
      <c r="G8" s="13" t="n">
        <v>26.2</v>
      </c>
      <c r="H8" s="6">
        <f>3*1.32^F8</f>
        <v/>
      </c>
      <c r="I8" s="6">
        <f>H8*(1+G8/100)</f>
        <v/>
      </c>
      <c r="K8" s="9">
        <f>K7</f>
        <v/>
      </c>
      <c r="L8" s="21" t="inlineStr">
        <is>
          <t>MORTA</t>
        </is>
      </c>
    </row>
    <row r="9">
      <c r="A9" s="4" t="n">
        <v>5</v>
      </c>
      <c r="B9" s="5" t="inlineStr">
        <is>
          <t>M5</t>
        </is>
      </c>
      <c r="C9" s="5" t="inlineStr">
        <is>
          <t>PENDING</t>
        </is>
      </c>
      <c r="D9" s="5" t="inlineStr">
        <is>
          <t>C4</t>
        </is>
      </c>
      <c r="E9" s="5" t="n">
        <v>8</v>
      </c>
      <c r="F9" s="5" t="n">
        <v>7</v>
      </c>
      <c r="G9" s="13" t="n">
        <v>26.2</v>
      </c>
      <c r="H9" s="6">
        <f>3*1.32^F9</f>
        <v/>
      </c>
      <c r="I9" s="6">
        <f>H9*(1+G9/100)</f>
        <v/>
      </c>
      <c r="J9" s="17">
        <f>ROUND((K8+45)/I9,0)</f>
        <v/>
      </c>
      <c r="K9" s="17">
        <f>K8+J9</f>
        <v/>
      </c>
      <c r="L9" s="18" t="inlineStr">
        <is>
          <t>NUOVO</t>
        </is>
      </c>
    </row>
    <row r="10">
      <c r="A10" s="4" t="n">
        <v>6</v>
      </c>
      <c r="B10" s="5" t="inlineStr">
        <is>
          <t>M6</t>
        </is>
      </c>
      <c r="C10" s="5" t="inlineStr">
        <is>
          <t>PENDING</t>
        </is>
      </c>
      <c r="D10" s="5" t="inlineStr">
        <is>
          <t>C4</t>
        </is>
      </c>
      <c r="E10" s="5" t="n">
        <v>8</v>
      </c>
      <c r="F10" s="5" t="n">
        <v>7</v>
      </c>
      <c r="G10" s="13" t="n">
        <v>26.2</v>
      </c>
      <c r="H10" s="6">
        <f>3*1.32^F10</f>
        <v/>
      </c>
      <c r="I10" s="6">
        <f>H10*(1+G10/100)</f>
        <v/>
      </c>
      <c r="K10" s="9">
        <f>K9</f>
        <v/>
      </c>
      <c r="L10" s="18" t="inlineStr">
        <is>
          <t>NUOVO</t>
        </is>
      </c>
    </row>
    <row r="11">
      <c r="A11" s="4" t="n">
        <v>7</v>
      </c>
      <c r="B11" s="5" t="inlineStr">
        <is>
          <t>M7</t>
        </is>
      </c>
      <c r="C11" s="5" t="inlineStr">
        <is>
          <t>PENDING</t>
        </is>
      </c>
      <c r="D11" s="5" t="inlineStr">
        <is>
          <t>C4</t>
        </is>
      </c>
      <c r="E11" s="5" t="n">
        <v>8</v>
      </c>
      <c r="F11" s="5" t="n">
        <v>7</v>
      </c>
      <c r="G11" s="13" t="n">
        <v>26.2</v>
      </c>
      <c r="H11" s="6">
        <f>3*1.32^F11</f>
        <v/>
      </c>
      <c r="I11" s="6">
        <f>H11*(1+G11/100)</f>
        <v/>
      </c>
      <c r="K11" s="9">
        <f>K10</f>
        <v/>
      </c>
      <c r="L11" s="18" t="inlineStr">
        <is>
          <t>NUOVO</t>
        </is>
      </c>
    </row>
    <row r="12">
      <c r="A12" s="4" t="n">
        <v>8</v>
      </c>
      <c r="B12" s="5" t="inlineStr">
        <is>
          <t>M8</t>
        </is>
      </c>
      <c r="C12" s="5" t="inlineStr">
        <is>
          <t>PENDING</t>
        </is>
      </c>
      <c r="D12" s="5" t="inlineStr">
        <is>
          <t>C4</t>
        </is>
      </c>
      <c r="E12" s="5" t="n">
        <v>8</v>
      </c>
      <c r="F12" s="5" t="n">
        <v>7</v>
      </c>
      <c r="G12" s="13" t="n">
        <v>26.2</v>
      </c>
      <c r="H12" s="6">
        <f>3*1.32^F12</f>
        <v/>
      </c>
      <c r="I12" s="6">
        <f>H12*(1+G12/100)</f>
        <v/>
      </c>
      <c r="K12" s="9">
        <f>K11</f>
        <v/>
      </c>
      <c r="L12" s="18" t="inlineStr">
        <is>
          <t>NUOVO</t>
        </is>
      </c>
    </row>
    <row r="13">
      <c r="A13" s="4" t="n">
        <v>9</v>
      </c>
      <c r="B13" s="5" t="inlineStr">
        <is>
          <t>M9</t>
        </is>
      </c>
      <c r="C13" s="5" t="inlineStr">
        <is>
          <t>PENDING</t>
        </is>
      </c>
      <c r="D13" s="5" t="inlineStr">
        <is>
          <t>C4</t>
        </is>
      </c>
      <c r="E13" s="5" t="n">
        <v>8</v>
      </c>
      <c r="F13" s="5" t="n">
        <v>7</v>
      </c>
      <c r="G13" s="13" t="n">
        <v>26.2</v>
      </c>
      <c r="H13" s="6">
        <f>3*1.32^F13</f>
        <v/>
      </c>
      <c r="I13" s="6">
        <f>H13*(1+G13/100)</f>
        <v/>
      </c>
      <c r="K13" s="9">
        <f>K12</f>
        <v/>
      </c>
      <c r="L13" s="18" t="inlineStr">
        <is>
          <t>NUOVO</t>
        </is>
      </c>
    </row>
    <row r="14">
      <c r="A14" s="4" t="n">
        <v>10</v>
      </c>
      <c r="B14" s="5" t="inlineStr">
        <is>
          <t>M10</t>
        </is>
      </c>
      <c r="C14" s="5" t="inlineStr">
        <is>
          <t>PENDING</t>
        </is>
      </c>
      <c r="D14" s="5" t="inlineStr">
        <is>
          <t>C4</t>
        </is>
      </c>
      <c r="E14" s="5" t="n">
        <v>8</v>
      </c>
      <c r="F14" s="5" t="n">
        <v>7</v>
      </c>
      <c r="G14" s="13" t="n">
        <v>26.2</v>
      </c>
      <c r="H14" s="6">
        <f>3*1.32^F14</f>
        <v/>
      </c>
      <c r="I14" s="6">
        <f>H14*(1+G14/100)</f>
        <v/>
      </c>
      <c r="K14" s="9">
        <f>K13</f>
        <v/>
      </c>
      <c r="L14" s="18" t="inlineStr">
        <is>
          <t>NUOVO</t>
        </is>
      </c>
    </row>
    <row r="15">
      <c r="A15" s="4" t="n">
        <v>11</v>
      </c>
      <c r="B15" s="5" t="inlineStr">
        <is>
          <t>M11</t>
        </is>
      </c>
      <c r="C15" s="5" t="inlineStr">
        <is>
          <t>PENDING</t>
        </is>
      </c>
      <c r="D15" s="5" t="inlineStr">
        <is>
          <t>C4</t>
        </is>
      </c>
      <c r="E15" s="5" t="n">
        <v>8</v>
      </c>
      <c r="F15" s="5" t="n">
        <v>7</v>
      </c>
      <c r="G15" s="13" t="n">
        <v>26.2</v>
      </c>
      <c r="H15" s="6">
        <f>3*1.32^F15</f>
        <v/>
      </c>
      <c r="I15" s="6">
        <f>H15*(1+G15/100)</f>
        <v/>
      </c>
      <c r="K15" s="9">
        <f>K14</f>
        <v/>
      </c>
      <c r="L15" s="18" t="inlineStr">
        <is>
          <t>NUOVO</t>
        </is>
      </c>
    </row>
    <row r="16">
      <c r="A16" s="4" t="n">
        <v>12</v>
      </c>
      <c r="B16" s="5" t="inlineStr">
        <is>
          <t>M12</t>
        </is>
      </c>
      <c r="C16" s="5" t="inlineStr">
        <is>
          <t>PENDING</t>
        </is>
      </c>
      <c r="D16" s="5" t="inlineStr">
        <is>
          <t>C4</t>
        </is>
      </c>
      <c r="E16" s="5" t="n">
        <v>8</v>
      </c>
      <c r="F16" s="5" t="n">
        <v>7</v>
      </c>
      <c r="G16" s="13" t="n">
        <v>26.2</v>
      </c>
      <c r="H16" s="6">
        <f>3*1.32^F16</f>
        <v/>
      </c>
      <c r="I16" s="6">
        <f>H16*(1+G16/100)</f>
        <v/>
      </c>
      <c r="K16" s="9">
        <f>K15</f>
        <v/>
      </c>
      <c r="L16" s="18" t="inlineStr">
        <is>
          <t>NUOVO</t>
        </is>
      </c>
    </row>
    <row r="20">
      <c r="A20" s="2" t="inlineStr">
        <is>
          <t>RISULTATO SIMULAZIONE</t>
        </is>
      </c>
    </row>
    <row r="21">
      <c r="A21" t="inlineStr">
        <is>
          <t>S0 morta - stake perso</t>
        </is>
      </c>
      <c r="B21" s="22" t="n">
        <v>20</v>
      </c>
    </row>
    <row r="22">
      <c r="A22" t="inlineStr">
        <is>
          <t>C4 stake piazzata</t>
        </is>
      </c>
      <c r="B22" s="9">
        <f>J9</f>
        <v/>
      </c>
    </row>
    <row r="23">
      <c r="A23" t="inlineStr">
        <is>
          <t>Totale speso</t>
        </is>
      </c>
      <c r="B23" s="20">
        <f>K16</f>
        <v/>
      </c>
    </row>
    <row r="24">
      <c r="A24" t="inlineStr">
        <is>
          <t>Se M5-M12 tutte Under -&gt; C4 vince</t>
        </is>
      </c>
      <c r="B24" s="15">
        <f>I9*J9-K16</f>
        <v/>
      </c>
    </row>
    <row r="25">
      <c r="A25" t="inlineStr">
        <is>
          <t>Se M5-M12 un'altra Over -&gt; C4 muore, C5 attiva</t>
        </is>
      </c>
      <c r="B25" s="5" t="inlineStr">
        <is>
          <t>Vedi tabella Assicurazione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40" customWidth="1" min="3" max="3"/>
  </cols>
  <sheetData>
    <row r="1">
      <c r="A1" s="1" t="inlineStr">
        <is>
          <t>ASSICURAZIONE - CALCOLO SEPARATO</t>
        </is>
      </c>
    </row>
    <row r="2">
      <c r="A2" s="8" t="inlineStr">
        <is>
          <t>Regola: N_internal = confermate + pending. Non entra nel prodotto quote né nel bonus.</t>
        </is>
      </c>
    </row>
    <row r="4">
      <c r="A4" s="2" t="inlineStr">
        <is>
          <t>TABELLA ASSICURAZIONE (N_internal &gt;= 4)</t>
        </is>
      </c>
    </row>
    <row r="5">
      <c r="A5" s="3" t="inlineStr">
        <is>
          <t>N Eventi</t>
        </is>
      </c>
      <c r="B5" s="3" t="inlineStr">
        <is>
          <t>1 Errore</t>
        </is>
      </c>
      <c r="C5" s="3" t="inlineStr">
        <is>
          <t>2 Errori</t>
        </is>
      </c>
      <c r="D5" s="3" t="inlineStr">
        <is>
          <t>3 Errori</t>
        </is>
      </c>
      <c r="E5" s="3" t="inlineStr">
        <is>
          <t>Rimborso Max</t>
        </is>
      </c>
    </row>
    <row r="6">
      <c r="A6" s="4" t="n">
        <v>4</v>
      </c>
      <c r="B6" s="5" t="n">
        <v>30</v>
      </c>
      <c r="C6" s="5" t="n">
        <v>10</v>
      </c>
      <c r="D6" s="5" t="n">
        <v>0</v>
      </c>
      <c r="E6" s="5" t="n">
        <v>50</v>
      </c>
    </row>
    <row r="7">
      <c r="A7" s="4" t="n">
        <v>5</v>
      </c>
      <c r="B7" s="5" t="n">
        <v>60</v>
      </c>
      <c r="C7" s="5" t="n">
        <v>30</v>
      </c>
      <c r="D7" s="5" t="n">
        <v>10</v>
      </c>
      <c r="E7" s="5" t="n">
        <v>50</v>
      </c>
    </row>
    <row r="8">
      <c r="A8" s="4" t="n">
        <v>6</v>
      </c>
      <c r="B8" s="5" t="n">
        <v>80</v>
      </c>
      <c r="C8" s="5" t="n">
        <v>60</v>
      </c>
      <c r="D8" s="5" t="n">
        <v>30</v>
      </c>
      <c r="E8" s="5" t="n">
        <v>50</v>
      </c>
    </row>
    <row r="9">
      <c r="A9" s="4" t="n">
        <v>7</v>
      </c>
      <c r="B9" s="5" t="n">
        <v>100</v>
      </c>
      <c r="C9" s="5" t="n">
        <v>80</v>
      </c>
      <c r="D9" s="5" t="n">
        <v>60</v>
      </c>
      <c r="E9" s="5" t="n">
        <v>50</v>
      </c>
    </row>
    <row r="12">
      <c r="A12" s="2" t="inlineStr">
        <is>
          <t>ESAME ASSICURAZIONE - C4 (N_int=8)</t>
        </is>
      </c>
    </row>
    <row r="13">
      <c r="A13" s="23" t="inlineStr">
        <is>
          <t>Dopo M4 Over, C4 ha 7 pending + 1 confermato = N_int=8</t>
        </is>
      </c>
    </row>
    <row r="14">
      <c r="A14" s="3" t="inlineStr">
        <is>
          <t>Parametro</t>
        </is>
      </c>
      <c r="B14" s="3" t="inlineStr">
        <is>
          <t>Valore</t>
        </is>
      </c>
      <c r="C14" s="3" t="inlineStr">
        <is>
          <t>Formula/Note</t>
        </is>
      </c>
    </row>
    <row r="15">
      <c r="A15" t="inlineStr">
        <is>
          <t>N_internal (confermate+pending)</t>
        </is>
      </c>
      <c r="B15" s="4" t="n">
        <v>8</v>
      </c>
      <c r="C15" s="5" t="inlineStr">
        <is>
          <t>1 confermata(M4 Over) + 7 pending</t>
        </is>
      </c>
    </row>
    <row r="16">
      <c r="A16" t="inlineStr">
        <is>
          <t>N_slip (solo pending)</t>
        </is>
      </c>
      <c r="B16" s="5" t="n">
        <v>7</v>
      </c>
      <c r="C16" s="5" t="inlineStr">
        <is>
          <t>Solo per bonus: tabella_bonus[7]=19.1%</t>
        </is>
      </c>
    </row>
    <row r="17">
      <c r="A17" t="inlineStr">
        <is>
          <t>N per tabella assicurazione</t>
        </is>
      </c>
      <c r="B17" s="5">
        <f>MIN(B15,7)</f>
        <v/>
      </c>
      <c r="C17" s="5" t="inlineStr">
        <is>
          <t>MIN(N_int, 7+)</t>
        </is>
      </c>
    </row>
    <row r="18">
      <c r="A18" t="inlineStr">
        <is>
          <t>Stake C4</t>
        </is>
      </c>
      <c r="B18" s="9">
        <f>Simulazione!J9</f>
        <v/>
      </c>
    </row>
    <row r="19">
      <c r="A19" t="inlineStr">
        <is>
          <t>Rimborso 1 errore (100%)</t>
        </is>
      </c>
      <c r="B19" s="24">
        <f>MIN(B18,50)*1.00</f>
        <v/>
      </c>
    </row>
    <row r="20">
      <c r="A20" t="inlineStr">
        <is>
          <t>Rimborso 2 errori (80%)</t>
        </is>
      </c>
      <c r="B20" s="9">
        <f>MIN(B18,50)*0.80</f>
        <v/>
      </c>
    </row>
    <row r="21">
      <c r="A21" t="inlineStr">
        <is>
          <t>Rimborso 3 errori (60%)</t>
        </is>
      </c>
      <c r="B21" s="9">
        <f>MIN(B18,50)*0.60</f>
        <v/>
      </c>
    </row>
    <row r="22">
      <c r="A22" t="inlineStr">
        <is>
          <t>Rimborso 4+ errori (0%)</t>
        </is>
      </c>
      <c r="B22" s="9">
        <f>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0" customWidth="1" min="9" max="9"/>
  </cols>
  <sheetData>
    <row r="1">
      <c r="A1" s="1" t="inlineStr">
        <is>
          <t>TUTTE LE SITUAZIONI POSSIBILI - 12 EVENTI</t>
        </is>
      </c>
    </row>
    <row r="2">
      <c r="A2" s="8" t="inlineStr">
        <is>
          <t>Tabella completa degli scenari. Solo 1 ticket attivo alla volta.</t>
        </is>
      </c>
    </row>
    <row r="4">
      <c r="A4" s="3" t="inlineStr">
        <is>
          <t>Scenario</t>
        </is>
      </c>
      <c r="B4" s="3" t="inlineStr">
        <is>
          <t>Errori</t>
        </is>
      </c>
      <c r="C4" s="3" t="inlineStr">
        <is>
          <t>Posizione Errori</t>
        </is>
      </c>
      <c r="D4" s="3" t="inlineStr">
        <is>
          <t>Stato Finale</t>
        </is>
      </c>
      <c r="E4" s="3" t="inlineStr">
        <is>
          <t>Spesa Totale</t>
        </is>
      </c>
      <c r="F4" s="3" t="inlineStr">
        <is>
          <t>Vincita</t>
        </is>
      </c>
      <c r="G4" s="3" t="inlineStr">
        <is>
          <t>Netto</t>
        </is>
      </c>
      <c r="H4" s="3" t="inlineStr">
        <is>
          <t>ROI</t>
        </is>
      </c>
      <c r="I4" s="3" t="inlineStr">
        <is>
          <t>Note</t>
        </is>
      </c>
    </row>
    <row r="5">
      <c r="A5" s="4" t="inlineStr">
        <is>
          <t>E0</t>
        </is>
      </c>
      <c r="B5" s="5" t="n">
        <v>0</v>
      </c>
      <c r="C5" s="5" t="inlineStr">
        <is>
          <t>Nessun</t>
        </is>
      </c>
      <c r="D5" s="11" t="inlineStr">
        <is>
          <t>Vittoria S0</t>
        </is>
      </c>
      <c r="E5" s="9" t="inlineStr"/>
      <c r="F5" s="9" t="inlineStr"/>
      <c r="G5" s="9" t="inlineStr"/>
      <c r="H5" s="25" t="inlineStr"/>
      <c r="I5" s="5" t="inlineStr">
        <is>
          <t>Madre vince, nessun errore</t>
        </is>
      </c>
    </row>
    <row r="6">
      <c r="A6" s="4" t="inlineStr">
        <is>
          <t>E1(k=1)</t>
        </is>
      </c>
      <c r="B6" s="5" t="n">
        <v>1</v>
      </c>
      <c r="C6" s="5" t="inlineStr">
        <is>
          <t>M1</t>
        </is>
      </c>
      <c r="D6" s="10" t="inlineStr">
        <is>
          <t>C1 attiva</t>
        </is>
      </c>
      <c r="E6" s="9" t="inlineStr"/>
      <c r="F6" s="9" t="inlineStr"/>
      <c r="G6" s="9" t="inlineStr"/>
      <c r="H6" s="25" t="inlineStr"/>
      <c r="I6" s="5" t="inlineStr">
        <is>
          <t>Un solo Over alla 1</t>
        </is>
      </c>
    </row>
    <row r="7">
      <c r="A7" s="4" t="inlineStr">
        <is>
          <t>E1(k=2)</t>
        </is>
      </c>
      <c r="B7" s="5" t="n">
        <v>1</v>
      </c>
      <c r="C7" s="5" t="inlineStr">
        <is>
          <t>M2</t>
        </is>
      </c>
      <c r="D7" s="10" t="inlineStr">
        <is>
          <t>C2 attiva</t>
        </is>
      </c>
      <c r="E7" s="9" t="inlineStr"/>
      <c r="F7" s="9" t="inlineStr"/>
      <c r="G7" s="9" t="inlineStr"/>
      <c r="H7" s="25" t="inlineStr"/>
      <c r="I7" s="5" t="inlineStr">
        <is>
          <t>Un solo Over alla 2</t>
        </is>
      </c>
    </row>
    <row r="8">
      <c r="A8" s="4" t="inlineStr">
        <is>
          <t>E1(k=3)</t>
        </is>
      </c>
      <c r="B8" s="5" t="n">
        <v>1</v>
      </c>
      <c r="C8" s="5" t="inlineStr">
        <is>
          <t>M3</t>
        </is>
      </c>
      <c r="D8" s="10" t="inlineStr">
        <is>
          <t>C3 attiva</t>
        </is>
      </c>
      <c r="E8" s="9" t="inlineStr"/>
      <c r="F8" s="9" t="inlineStr"/>
      <c r="G8" s="9" t="inlineStr"/>
      <c r="H8" s="25" t="inlineStr"/>
      <c r="I8" s="5" t="inlineStr">
        <is>
          <t>Un solo Over alla 3</t>
        </is>
      </c>
    </row>
    <row r="9">
      <c r="A9" s="4" t="inlineStr">
        <is>
          <t>E1(k=4)</t>
        </is>
      </c>
      <c r="B9" s="5" t="n">
        <v>1</v>
      </c>
      <c r="C9" s="5" t="inlineStr">
        <is>
          <t>M4</t>
        </is>
      </c>
      <c r="D9" s="10" t="inlineStr">
        <is>
          <t>C4 attiva</t>
        </is>
      </c>
      <c r="E9" s="9" t="inlineStr"/>
      <c r="F9" s="9" t="inlineStr"/>
      <c r="G9" s="9" t="inlineStr"/>
      <c r="H9" s="25" t="inlineStr"/>
      <c r="I9" s="5" t="inlineStr">
        <is>
          <t>Un solo Over alla 4</t>
        </is>
      </c>
    </row>
    <row r="10">
      <c r="A10" s="4" t="inlineStr">
        <is>
          <t>E1(k=5)</t>
        </is>
      </c>
      <c r="B10" s="5" t="n">
        <v>1</v>
      </c>
      <c r="C10" s="5" t="inlineStr">
        <is>
          <t>M5</t>
        </is>
      </c>
      <c r="D10" s="10" t="inlineStr">
        <is>
          <t>C5 attiva</t>
        </is>
      </c>
      <c r="E10" s="9" t="inlineStr"/>
      <c r="F10" s="9" t="inlineStr"/>
      <c r="G10" s="9" t="inlineStr"/>
      <c r="H10" s="25" t="inlineStr"/>
      <c r="I10" s="5" t="inlineStr">
        <is>
          <t>Un solo Over alla 5</t>
        </is>
      </c>
    </row>
    <row r="11">
      <c r="A11" s="4" t="inlineStr">
        <is>
          <t>E1(k=6)</t>
        </is>
      </c>
      <c r="B11" s="5" t="n">
        <v>1</v>
      </c>
      <c r="C11" s="5" t="inlineStr">
        <is>
          <t>M6</t>
        </is>
      </c>
      <c r="D11" s="10" t="inlineStr">
        <is>
          <t>C6 attiva</t>
        </is>
      </c>
      <c r="E11" s="9" t="inlineStr"/>
      <c r="F11" s="9" t="inlineStr"/>
      <c r="G11" s="9" t="inlineStr"/>
      <c r="H11" s="25" t="inlineStr"/>
      <c r="I11" s="5" t="inlineStr">
        <is>
          <t>Un solo Over alla 6</t>
        </is>
      </c>
    </row>
    <row r="12">
      <c r="A12" s="4" t="inlineStr">
        <is>
          <t>E1(k=7)</t>
        </is>
      </c>
      <c r="B12" s="5" t="n">
        <v>1</v>
      </c>
      <c r="C12" s="5" t="inlineStr">
        <is>
          <t>M7</t>
        </is>
      </c>
      <c r="D12" s="10" t="inlineStr">
        <is>
          <t>C7 attiva</t>
        </is>
      </c>
      <c r="E12" s="9" t="inlineStr"/>
      <c r="F12" s="9" t="inlineStr"/>
      <c r="G12" s="9" t="inlineStr"/>
      <c r="H12" s="25" t="inlineStr"/>
      <c r="I12" s="5" t="inlineStr">
        <is>
          <t>Un solo Over alla 7</t>
        </is>
      </c>
    </row>
    <row r="13">
      <c r="A13" s="4" t="inlineStr">
        <is>
          <t>E1(k=8)</t>
        </is>
      </c>
      <c r="B13" s="5" t="n">
        <v>1</v>
      </c>
      <c r="C13" s="5" t="inlineStr">
        <is>
          <t>M8</t>
        </is>
      </c>
      <c r="D13" s="10" t="inlineStr">
        <is>
          <t>C8 attiva</t>
        </is>
      </c>
      <c r="E13" s="9" t="inlineStr"/>
      <c r="F13" s="9" t="inlineStr"/>
      <c r="G13" s="9" t="inlineStr"/>
      <c r="H13" s="25" t="inlineStr"/>
      <c r="I13" s="5" t="inlineStr">
        <is>
          <t>Un solo Over alla 8</t>
        </is>
      </c>
    </row>
    <row r="14">
      <c r="A14" s="4" t="inlineStr">
        <is>
          <t>E1(k=9)</t>
        </is>
      </c>
      <c r="B14" s="5" t="n">
        <v>1</v>
      </c>
      <c r="C14" s="5" t="inlineStr">
        <is>
          <t>M9</t>
        </is>
      </c>
      <c r="D14" s="10" t="inlineStr">
        <is>
          <t>C9 attiva</t>
        </is>
      </c>
      <c r="E14" s="9" t="inlineStr"/>
      <c r="F14" s="9" t="inlineStr"/>
      <c r="G14" s="9" t="inlineStr"/>
      <c r="H14" s="25" t="inlineStr"/>
      <c r="I14" s="5" t="inlineStr">
        <is>
          <t>Un solo Over alla 9</t>
        </is>
      </c>
    </row>
    <row r="15">
      <c r="A15" s="4" t="inlineStr">
        <is>
          <t>E1(k=10)</t>
        </is>
      </c>
      <c r="B15" s="5" t="n">
        <v>1</v>
      </c>
      <c r="C15" s="5" t="inlineStr">
        <is>
          <t>M10</t>
        </is>
      </c>
      <c r="D15" s="10" t="inlineStr">
        <is>
          <t>C10 attiva</t>
        </is>
      </c>
      <c r="E15" s="9" t="inlineStr"/>
      <c r="F15" s="9" t="inlineStr"/>
      <c r="G15" s="9" t="inlineStr"/>
      <c r="H15" s="25" t="inlineStr"/>
      <c r="I15" s="5" t="inlineStr">
        <is>
          <t>Un solo Over alla 10</t>
        </is>
      </c>
    </row>
    <row r="16">
      <c r="A16" s="4" t="inlineStr">
        <is>
          <t>E1(k=11)</t>
        </is>
      </c>
      <c r="B16" s="5" t="n">
        <v>1</v>
      </c>
      <c r="C16" s="5" t="inlineStr">
        <is>
          <t>M11</t>
        </is>
      </c>
      <c r="D16" s="10" t="inlineStr">
        <is>
          <t>C11 attiva</t>
        </is>
      </c>
      <c r="E16" s="9" t="inlineStr"/>
      <c r="F16" s="9" t="inlineStr"/>
      <c r="G16" s="9" t="inlineStr"/>
      <c r="H16" s="25" t="inlineStr"/>
      <c r="I16" s="5" t="inlineStr">
        <is>
          <t>Un solo Over alla 11</t>
        </is>
      </c>
    </row>
    <row r="17">
      <c r="A17" s="4" t="inlineStr">
        <is>
          <t>E1(k=12)</t>
        </is>
      </c>
      <c r="B17" s="5" t="n">
        <v>1</v>
      </c>
      <c r="C17" s="5" t="inlineStr">
        <is>
          <t>M12</t>
        </is>
      </c>
      <c r="D17" s="10" t="inlineStr">
        <is>
          <t>Lock Exchange</t>
        </is>
      </c>
      <c r="E17" s="9" t="inlineStr"/>
      <c r="F17" s="9" t="inlineStr"/>
      <c r="G17" s="9" t="inlineStr"/>
      <c r="H17" s="25" t="inlineStr"/>
      <c r="I17" s="5" t="inlineStr">
        <is>
          <t>Un solo Over all'ultimo</t>
        </is>
      </c>
    </row>
    <row r="18">
      <c r="A18" s="4" t="inlineStr">
        <is>
          <t>E2(1,2)</t>
        </is>
      </c>
      <c r="B18" s="5" t="n">
        <v>2</v>
      </c>
      <c r="C18" s="5" t="inlineStr">
        <is>
          <t>M1,M2</t>
        </is>
      </c>
      <c r="D18" s="21" t="inlineStr">
        <is>
          <t>C2 attiva</t>
        </is>
      </c>
      <c r="E18" s="9" t="inlineStr"/>
      <c r="F18" s="9" t="inlineStr"/>
      <c r="G18" s="9" t="inlineStr"/>
      <c r="H18" s="25" t="inlineStr"/>
      <c r="I18" s="5" t="inlineStr">
        <is>
          <t>Due errori consecutivi</t>
        </is>
      </c>
    </row>
    <row r="19">
      <c r="A19" s="4" t="inlineStr">
        <is>
          <t>E2(1,5)</t>
        </is>
      </c>
      <c r="B19" s="5" t="n">
        <v>2</v>
      </c>
      <c r="C19" s="5" t="inlineStr">
        <is>
          <t>M1,M5</t>
        </is>
      </c>
      <c r="D19" s="21" t="inlineStr">
        <is>
          <t>C5 attiva</t>
        </is>
      </c>
      <c r="E19" s="9" t="inlineStr"/>
      <c r="F19" s="9" t="inlineStr"/>
      <c r="G19" s="9" t="inlineStr"/>
      <c r="H19" s="25" t="inlineStr"/>
      <c r="I19" s="5" t="inlineStr">
        <is>
          <t>Due errori sparsi</t>
        </is>
      </c>
    </row>
    <row r="20">
      <c r="A20" s="4" t="inlineStr">
        <is>
          <t>E2(4,8)</t>
        </is>
      </c>
      <c r="B20" s="5" t="n">
        <v>2</v>
      </c>
      <c r="C20" s="5" t="inlineStr">
        <is>
          <t>M4,M8</t>
        </is>
      </c>
      <c r="D20" s="21" t="inlineStr">
        <is>
          <t>C8 attiva</t>
        </is>
      </c>
      <c r="E20" s="9" t="inlineStr"/>
      <c r="F20" s="9" t="inlineStr"/>
      <c r="G20" s="9" t="inlineStr"/>
      <c r="H20" s="25" t="inlineStr"/>
      <c r="I20" s="5" t="inlineStr">
        <is>
          <t>Due errori sparsi</t>
        </is>
      </c>
    </row>
    <row r="21">
      <c r="A21" s="4" t="inlineStr">
        <is>
          <t>E3(1,2,3)</t>
        </is>
      </c>
      <c r="B21" s="5" t="n">
        <v>3</v>
      </c>
      <c r="C21" s="5" t="inlineStr">
        <is>
          <t>M1,M2,M3</t>
        </is>
      </c>
      <c r="D21" s="21" t="inlineStr">
        <is>
          <t>C3 attiva</t>
        </is>
      </c>
      <c r="E21" s="9" t="inlineStr"/>
      <c r="F21" s="9" t="inlineStr"/>
      <c r="G21" s="9" t="inlineStr"/>
      <c r="H21" s="25" t="inlineStr"/>
      <c r="I21" s="5" t="inlineStr">
        <is>
          <t>Tre errori consecutivi</t>
        </is>
      </c>
    </row>
    <row r="22">
      <c r="A22" s="4" t="inlineStr">
        <is>
          <t>E3(1,4,8)</t>
        </is>
      </c>
      <c r="B22" s="5" t="n">
        <v>3</v>
      </c>
      <c r="C22" s="5" t="inlineStr">
        <is>
          <t>M1,M4,M8</t>
        </is>
      </c>
      <c r="D22" s="21" t="inlineStr">
        <is>
          <t>C8 attiva</t>
        </is>
      </c>
      <c r="E22" s="9" t="inlineStr"/>
      <c r="F22" s="9" t="inlineStr"/>
      <c r="G22" s="9" t="inlineStr"/>
      <c r="H22" s="25" t="inlineStr"/>
      <c r="I22" s="5" t="inlineStr">
        <is>
          <t>Tre errori sparsi</t>
        </is>
      </c>
    </row>
    <row r="23">
      <c r="A23" s="4" t="inlineStr">
        <is>
          <t>E4(1,2,3,4)</t>
        </is>
      </c>
      <c r="B23" s="5" t="n">
        <v>4</v>
      </c>
      <c r="C23" s="5" t="inlineStr">
        <is>
          <t>M1-M4</t>
        </is>
      </c>
      <c r="D23" s="21" t="inlineStr">
        <is>
          <t>C4 attiva</t>
        </is>
      </c>
      <c r="E23" s="9" t="inlineStr"/>
      <c r="F23" s="9" t="inlineStr"/>
      <c r="G23" s="9" t="inlineStr"/>
      <c r="H23" s="25" t="inlineStr"/>
      <c r="I23" s="5" t="inlineStr">
        <is>
          <t>Quattro errori - raro</t>
        </is>
      </c>
    </row>
    <row r="24">
      <c r="A24" s="4" t="inlineStr">
        <is>
          <t>E12</t>
        </is>
      </c>
      <c r="B24" s="5" t="n">
        <v>12</v>
      </c>
      <c r="C24" s="5" t="inlineStr">
        <is>
          <t>Tutti</t>
        </is>
      </c>
      <c r="D24" s="21" t="inlineStr">
        <is>
          <t>Lock Exchange</t>
        </is>
      </c>
      <c r="E24" s="9" t="inlineStr"/>
      <c r="F24" s="9" t="inlineStr"/>
      <c r="G24" s="9" t="inlineStr"/>
      <c r="H24" s="25" t="inlineStr"/>
      <c r="I24" s="5" t="inlineStr">
        <is>
          <t>Tutti Over - singola exchange</t>
        </is>
      </c>
    </row>
    <row r="27">
      <c r="A27" s="2" t="inlineStr">
        <is>
          <t>SINTESI</t>
        </is>
      </c>
    </row>
    <row r="28">
      <c r="A28" t="inlineStr">
        <is>
          <t>Scenario piu probabile</t>
        </is>
      </c>
      <c r="B28" s="5" t="inlineStr">
        <is>
          <t>E1 - 1 errore (P=27.4%)</t>
        </is>
      </c>
    </row>
    <row r="29">
      <c r="A29" t="inlineStr">
        <is>
          <t>Scenario migliore</t>
        </is>
      </c>
      <c r="B29" s="5" t="inlineStr">
        <is>
          <t>E0 - Madre vince (P=8.2%)</t>
        </is>
      </c>
    </row>
    <row r="30">
      <c r="A30" t="inlineStr">
        <is>
          <t>Scenario peggiore</t>
        </is>
      </c>
      <c r="B30" s="5" t="inlineStr">
        <is>
          <t>E12 - Tutti Over (P&lt;0.1%)</t>
        </is>
      </c>
    </row>
    <row r="31">
      <c r="A31" t="inlineStr">
        <is>
          <t>Con assicurazione:</t>
        </is>
      </c>
      <c r="B31" s="5" t="inlineStr">
        <is>
          <t>P(2+ errori) coperto da rimborso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SCHEMA FORMULE COMPLETO</t>
        </is>
      </c>
    </row>
    <row r="3">
      <c r="A3" s="3" t="inlineStr">
        <is>
          <t>Parametro</t>
        </is>
      </c>
      <c r="B3" s="3" t="inlineStr">
        <is>
          <t>Formula</t>
        </is>
      </c>
      <c r="C3" s="3" t="inlineStr">
        <is>
          <t>Note</t>
        </is>
      </c>
    </row>
    <row r="4">
      <c r="A4" s="26" t="inlineStr">
        <is>
          <t>N_eventi_totali</t>
        </is>
      </c>
      <c r="B4" s="27" t="inlineStr">
        <is>
          <t>Conteggio eventi nella schedina</t>
        </is>
      </c>
      <c r="C4" s="28" t="inlineStr">
        <is>
          <t>confermate + pending</t>
        </is>
      </c>
    </row>
    <row r="5">
      <c r="A5" s="26" t="inlineStr">
        <is>
          <t>N_slip</t>
        </is>
      </c>
      <c r="B5" s="27" t="inlineStr">
        <is>
          <t>Sole eventi PENDING</t>
        </is>
      </c>
      <c r="C5" s="28" t="inlineStr">
        <is>
          <t>per calcolo quote e bonus</t>
        </is>
      </c>
    </row>
    <row r="6">
      <c r="A6" s="26" t="inlineStr">
        <is>
          <t>N_bonus</t>
        </is>
      </c>
      <c r="B6" s="27" t="inlineStr">
        <is>
          <t>MIN(N_slip, max_bonus_events)</t>
        </is>
      </c>
      <c r="C6" s="28" t="inlineStr">
        <is>
          <t>per lookup tabella bonus</t>
        </is>
      </c>
    </row>
    <row r="7">
      <c r="A7" s="26" t="inlineStr">
        <is>
          <t>raw_odds</t>
        </is>
      </c>
      <c r="B7" s="27" t="inlineStr">
        <is>
          <t>underOdds^N_slip</t>
        </is>
      </c>
      <c r="C7" s="28" t="inlineStr">
        <is>
          <t>prodotto sole pending</t>
        </is>
      </c>
    </row>
    <row r="8">
      <c r="A8" s="26" t="inlineStr">
        <is>
          <t>bonus_pct</t>
        </is>
      </c>
      <c r="B8" s="27" t="inlineStr">
        <is>
          <t>Tabelle[N_bonus]</t>
        </is>
      </c>
      <c r="C8" s="28" t="inlineStr">
        <is>
          <t>lookup da tabella</t>
        </is>
      </c>
    </row>
    <row r="9">
      <c r="A9" s="26" t="inlineStr">
        <is>
          <t>final_odds</t>
        </is>
      </c>
      <c r="B9" s="27" t="inlineStr">
        <is>
          <t>raw_odds * (1 + bonus_pct/100)</t>
        </is>
      </c>
      <c r="C9" s="28" t="inlineStr">
        <is>
          <t>multiplatore finale</t>
        </is>
      </c>
    </row>
    <row r="10">
      <c r="A10" s="26" t="inlineStr">
        <is>
          <t>stake</t>
        </is>
      </c>
      <c r="B10" s="27" t="inlineStr">
        <is>
          <t>ROUND50[(speso_fino_ora + target) / (final_odds - 1)]</t>
        </is>
      </c>
      <c r="C10" s="28" t="inlineStr">
        <is>
          <t>solo se ticket piazzato</t>
        </is>
      </c>
    </row>
    <row r="11">
      <c r="A11" s="26" t="inlineStr">
        <is>
          <t>cumulative</t>
        </is>
      </c>
      <c r="B11" s="27" t="inlineStr">
        <is>
          <t>speso_precedente + stake_corrente</t>
        </is>
      </c>
      <c r="C11" s="28" t="inlineStr">
        <is>
          <t>costo effettivo</t>
        </is>
      </c>
    </row>
    <row r="12">
      <c r="A12" s="26" t="inlineStr">
        <is>
          <t>gross_win</t>
        </is>
      </c>
      <c r="B12" s="27" t="inlineStr">
        <is>
          <t>stake * final_odds</t>
        </is>
      </c>
      <c r="C12" s="28" t="inlineStr">
        <is>
          <t>vincita lorda ticket</t>
        </is>
      </c>
    </row>
    <row r="13">
      <c r="A13" s="26" t="inlineStr">
        <is>
          <t>net_profit</t>
        </is>
      </c>
      <c r="B13" s="27" t="inlineStr">
        <is>
          <t>gross_win - cumulative</t>
        </is>
      </c>
      <c r="C13" s="28" t="inlineStr">
        <is>
          <t>profitto netto</t>
        </is>
      </c>
    </row>
    <row r="14">
      <c r="A14" s="26" t="inlineStr">
        <is>
          <t>ROI</t>
        </is>
      </c>
      <c r="B14" s="27" t="inlineStr">
        <is>
          <t>(net_profit / cumulative) * 100</t>
        </is>
      </c>
      <c r="C14" s="28" t="inlineStr">
        <is>
          <t>rendimento percentuale</t>
        </is>
      </c>
    </row>
    <row r="15">
      <c r="A15" s="26" t="inlineStr">
        <is>
          <t>insurance_refund</t>
        </is>
      </c>
      <c r="B15" s="27" t="inlineStr">
        <is>
          <t>MIN(stake, 50) * tabella_assicurazione[N_int, errori]</t>
        </is>
      </c>
      <c r="C15" s="28" t="inlineStr">
        <is>
          <t>solo se assicurabile</t>
        </is>
      </c>
    </row>
    <row r="16">
      <c r="A16" s="26" t="inlineStr">
        <is>
          <t>internal_count</t>
        </is>
      </c>
      <c r="B16" s="27" t="inlineStr">
        <is>
          <t>confermate + pending</t>
        </is>
      </c>
      <c r="C16" s="28" t="inlineStr">
        <is>
          <t>SOLO per assicurazione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2026-09-06T12:01:51Z</dcterms:created>
  <dcterms:modified xmlns:dcterms="http://purl.org/dc/terms/" xmlns:xsi="http://www.w3.org/2001/XMLSchema-instance" xsi:type="dcterms:W3CDTF">2026-09-06T12:01:51Z</dcterms:modified>
</cp:coreProperties>
</file>