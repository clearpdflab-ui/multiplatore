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elle" sheetId="1" state="visible" r:id="rId1"/>
    <sheet xmlns:r="http://schemas.openxmlformats.org/officeDocument/2006/relationships" name="Madre_12" sheetId="2" state="visible" r:id="rId2"/>
    <sheet xmlns:r="http://schemas.openxmlformats.org/officeDocument/2006/relationships" name="Coperture" sheetId="3" state="visible" r:id="rId3"/>
    <sheet xmlns:r="http://schemas.openxmlformats.org/officeDocument/2006/relationships" name="Assicurazione" sheetId="4" state="visible" r:id="rId4"/>
    <sheet xmlns:r="http://schemas.openxmlformats.org/officeDocument/2006/relationships" name="Scenario_Reale" sheetId="5" state="visible" r:id="rId5"/>
    <sheet xmlns:r="http://schemas.openxmlformats.org/officeDocument/2006/relationships" name="Bonus_Schedi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color rgb="001F3864"/>
      <sz val="11"/>
    </font>
    <font>
      <b val="1"/>
      <color rgb="00FFFFFF"/>
      <sz val="11"/>
    </font>
    <font>
      <color rgb="000070C0"/>
      <sz val="10"/>
    </font>
    <font>
      <b val="1"/>
    </font>
    <font>
      <b val="1"/>
      <color rgb="00C00000"/>
      <sz val="12"/>
    </font>
    <font>
      <b val="1"/>
      <sz val="12"/>
    </font>
    <font>
      <b val="1"/>
      <color rgb="00006100"/>
    </font>
    <font>
      <b val="1"/>
      <color rgb="00C00000"/>
    </font>
    <font>
      <i val="1"/>
      <color rgb="000070C0"/>
    </font>
    <font>
      <b val="1"/>
      <color rgb="00006100"/>
      <sz val="12"/>
    </font>
    <font>
      <b val="1"/>
      <color rgb="000070C0"/>
    </font>
  </fonts>
  <fills count="7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164" fontId="0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9" fillId="5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2" fillId="5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8" fillId="4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11" fillId="4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TABELLE BONUS &amp; ASSICURAZIONE</t>
        </is>
      </c>
    </row>
    <row r="3">
      <c r="A3" s="2" t="inlineStr">
        <is>
          <t>TABELLA BONUS MULTIPLA</t>
        </is>
      </c>
    </row>
    <row r="4">
      <c r="A4" s="3" t="inlineStr">
        <is>
          <t>N Eventi</t>
        </is>
      </c>
      <c r="B4" s="3" t="inlineStr">
        <is>
          <t>% BONUS</t>
        </is>
      </c>
      <c r="C4" s="3" t="inlineStr">
        <is>
          <t>Molt. Raw (1.32^N)</t>
        </is>
      </c>
      <c r="D4" s="3" t="inlineStr">
        <is>
          <t>Molt. Finale</t>
        </is>
      </c>
      <c r="E4" s="3" t="inlineStr">
        <is>
          <t>Formula</t>
        </is>
      </c>
    </row>
    <row r="5">
      <c r="A5" s="4" t="n">
        <v>5</v>
      </c>
      <c r="B5" s="5" t="n">
        <v>6</v>
      </c>
      <c r="C5" s="6">
        <f>1.32^A5</f>
        <v/>
      </c>
      <c r="D5" s="6">
        <f>C5*(1+B5/100)</f>
        <v/>
      </c>
      <c r="E5" s="5" t="inlineStr">
        <is>
          <t>1.32^5 x (1 + 6.0%)</t>
        </is>
      </c>
    </row>
    <row r="6">
      <c r="A6" s="4" t="n">
        <v>6</v>
      </c>
      <c r="B6" s="5" t="n">
        <v>12.4</v>
      </c>
      <c r="C6" s="6">
        <f>1.32^A6</f>
        <v/>
      </c>
      <c r="D6" s="6">
        <f>C6*(1+B6/100)</f>
        <v/>
      </c>
      <c r="E6" s="5" t="inlineStr">
        <is>
          <t>1.32^6 x (1 + 12.4%)</t>
        </is>
      </c>
    </row>
    <row r="7">
      <c r="A7" s="4" t="n">
        <v>7</v>
      </c>
      <c r="B7" s="5" t="n">
        <v>19.1</v>
      </c>
      <c r="C7" s="6">
        <f>1.32^A7</f>
        <v/>
      </c>
      <c r="D7" s="6">
        <f>C7*(1+B7/100)</f>
        <v/>
      </c>
      <c r="E7" s="5" t="inlineStr">
        <is>
          <t>1.32^7 x (1 + 19.1%)</t>
        </is>
      </c>
    </row>
    <row r="8">
      <c r="A8" s="4" t="n">
        <v>8</v>
      </c>
      <c r="B8" s="5" t="n">
        <v>26.2</v>
      </c>
      <c r="C8" s="6">
        <f>1.32^A8</f>
        <v/>
      </c>
      <c r="D8" s="6">
        <f>C8*(1+B8/100)</f>
        <v/>
      </c>
      <c r="E8" s="5" t="inlineStr">
        <is>
          <t>1.32^8 x (1 + 26.2%)</t>
        </is>
      </c>
    </row>
    <row r="9">
      <c r="A9" s="4" t="n">
        <v>9</v>
      </c>
      <c r="B9" s="5" t="n">
        <v>33.8</v>
      </c>
      <c r="C9" s="6">
        <f>1.32^A9</f>
        <v/>
      </c>
      <c r="D9" s="6">
        <f>C9*(1+B9/100)</f>
        <v/>
      </c>
      <c r="E9" s="5" t="inlineStr">
        <is>
          <t>1.32^9 x (1 + 33.8%)</t>
        </is>
      </c>
    </row>
    <row r="10">
      <c r="A10" s="4" t="n">
        <v>10</v>
      </c>
      <c r="B10" s="5" t="n">
        <v>41.9</v>
      </c>
      <c r="C10" s="6">
        <f>1.32^A10</f>
        <v/>
      </c>
      <c r="D10" s="6">
        <f>C10*(1+B10/100)</f>
        <v/>
      </c>
      <c r="E10" s="5" t="inlineStr">
        <is>
          <t>1.32^10 x (1 + 41.9%)</t>
        </is>
      </c>
    </row>
    <row r="11">
      <c r="A11" s="4" t="n">
        <v>11</v>
      </c>
      <c r="B11" s="5" t="n">
        <v>50.4</v>
      </c>
      <c r="C11" s="6">
        <f>1.32^A11</f>
        <v/>
      </c>
      <c r="D11" s="6">
        <f>C11*(1+B11/100)</f>
        <v/>
      </c>
      <c r="E11" s="5" t="inlineStr">
        <is>
          <t>1.32^11 x (1 + 50.4%)</t>
        </is>
      </c>
    </row>
    <row r="12">
      <c r="A12" s="4" t="n">
        <v>12</v>
      </c>
      <c r="B12" s="5" t="n">
        <v>59.4</v>
      </c>
      <c r="C12" s="6">
        <f>1.32^A12</f>
        <v/>
      </c>
      <c r="D12" s="6">
        <f>C12*(1+B12/100)</f>
        <v/>
      </c>
      <c r="E12" s="5" t="inlineStr">
        <is>
          <t>1.32^12 x (1 + 59.4%)</t>
        </is>
      </c>
    </row>
    <row r="13">
      <c r="A13" s="4" t="n">
        <v>13</v>
      </c>
      <c r="B13" s="5" t="n">
        <v>68.90000000000001</v>
      </c>
      <c r="C13" s="6">
        <f>1.32^A13</f>
        <v/>
      </c>
      <c r="D13" s="6">
        <f>C13*(1+B13/100)</f>
        <v/>
      </c>
      <c r="E13" s="5" t="inlineStr">
        <is>
          <t>1.32^13 x (1 + 68.9%)</t>
        </is>
      </c>
    </row>
    <row r="14">
      <c r="A14" s="4" t="n">
        <v>14</v>
      </c>
      <c r="B14" s="5" t="n">
        <v>79.09999999999999</v>
      </c>
      <c r="C14" s="6">
        <f>1.32^A14</f>
        <v/>
      </c>
      <c r="D14" s="6">
        <f>C14*(1+B14/100)</f>
        <v/>
      </c>
      <c r="E14" s="5" t="inlineStr">
        <is>
          <t>1.32^14 x (1 + 79.1%)</t>
        </is>
      </c>
    </row>
    <row r="15">
      <c r="A15" s="4" t="n">
        <v>15</v>
      </c>
      <c r="B15" s="5" t="n">
        <v>89.8</v>
      </c>
      <c r="C15" s="6">
        <f>1.32^A15</f>
        <v/>
      </c>
      <c r="D15" s="6">
        <f>C15*(1+B15/100)</f>
        <v/>
      </c>
      <c r="E15" s="5" t="inlineStr">
        <is>
          <t>1.32^15 x (1 + 89.8%)</t>
        </is>
      </c>
    </row>
    <row r="16">
      <c r="A16" s="4" t="n">
        <v>16</v>
      </c>
      <c r="B16" s="5" t="n">
        <v>101.2</v>
      </c>
      <c r="C16" s="6">
        <f>1.32^A16</f>
        <v/>
      </c>
      <c r="D16" s="6">
        <f>C16*(1+B16/100)</f>
        <v/>
      </c>
      <c r="E16" s="5" t="inlineStr">
        <is>
          <t>1.32^16 x (1 + 101.2%)</t>
        </is>
      </c>
    </row>
    <row r="17">
      <c r="A17" s="4" t="n">
        <v>17</v>
      </c>
      <c r="B17" s="5" t="n">
        <v>113.3</v>
      </c>
      <c r="C17" s="6">
        <f>1.32^A17</f>
        <v/>
      </c>
      <c r="D17" s="6">
        <f>C17*(1+B17/100)</f>
        <v/>
      </c>
      <c r="E17" s="5" t="inlineStr">
        <is>
          <t>1.32^17 x (1 + 113.3%)</t>
        </is>
      </c>
    </row>
    <row r="18">
      <c r="A18" s="4" t="n">
        <v>18</v>
      </c>
      <c r="B18" s="5" t="n">
        <v>126.1</v>
      </c>
      <c r="C18" s="6">
        <f>1.32^A18</f>
        <v/>
      </c>
      <c r="D18" s="6">
        <f>C18*(1+B18/100)</f>
        <v/>
      </c>
      <c r="E18" s="5" t="inlineStr">
        <is>
          <t>1.32^18 x (1 + 126.1%)</t>
        </is>
      </c>
    </row>
    <row r="19">
      <c r="A19" s="4" t="n">
        <v>19</v>
      </c>
      <c r="B19" s="5" t="n">
        <v>139.7</v>
      </c>
      <c r="C19" s="6">
        <f>1.32^A19</f>
        <v/>
      </c>
      <c r="D19" s="6">
        <f>C19*(1+B19/100)</f>
        <v/>
      </c>
      <c r="E19" s="5" t="inlineStr">
        <is>
          <t>1.32^19 x (1 + 139.7%)</t>
        </is>
      </c>
    </row>
    <row r="20">
      <c r="A20" s="4" t="n">
        <v>20</v>
      </c>
      <c r="B20" s="5" t="n">
        <v>154</v>
      </c>
      <c r="C20" s="6">
        <f>1.32^A20</f>
        <v/>
      </c>
      <c r="D20" s="6">
        <f>C20*(1+B20/100)</f>
        <v/>
      </c>
      <c r="E20" s="5" t="inlineStr">
        <is>
          <t>1.32^20 x (1 + 154.0%)</t>
        </is>
      </c>
    </row>
    <row r="21">
      <c r="A21" s="4" t="n">
        <v>21</v>
      </c>
      <c r="B21" s="5" t="n">
        <v>169.3</v>
      </c>
      <c r="C21" s="6">
        <f>1.32^A21</f>
        <v/>
      </c>
      <c r="D21" s="6">
        <f>C21*(1+B21/100)</f>
        <v/>
      </c>
      <c r="E21" s="5" t="inlineStr">
        <is>
          <t>1.32^21 x (1 + 169.3%)</t>
        </is>
      </c>
    </row>
    <row r="22">
      <c r="A22" s="4" t="n">
        <v>22</v>
      </c>
      <c r="B22" s="5" t="n">
        <v>185.4</v>
      </c>
      <c r="C22" s="6">
        <f>1.32^A22</f>
        <v/>
      </c>
      <c r="D22" s="6">
        <f>C22*(1+B22/100)</f>
        <v/>
      </c>
      <c r="E22" s="5" t="inlineStr">
        <is>
          <t>1.32^22 x (1 + 185.4%)</t>
        </is>
      </c>
    </row>
    <row r="23">
      <c r="A23" s="4" t="n">
        <v>23</v>
      </c>
      <c r="B23" s="5" t="n">
        <v>202.6</v>
      </c>
      <c r="C23" s="6">
        <f>1.32^A23</f>
        <v/>
      </c>
      <c r="D23" s="6">
        <f>C23*(1+B23/100)</f>
        <v/>
      </c>
      <c r="E23" s="5" t="inlineStr">
        <is>
          <t>1.32^23 x (1 + 202.6%)</t>
        </is>
      </c>
    </row>
    <row r="24">
      <c r="A24" s="4" t="n">
        <v>24</v>
      </c>
      <c r="B24" s="5" t="n">
        <v>220.7</v>
      </c>
      <c r="C24" s="6">
        <f>1.32^A24</f>
        <v/>
      </c>
      <c r="D24" s="6">
        <f>C24*(1+B24/100)</f>
        <v/>
      </c>
      <c r="E24" s="5" t="inlineStr">
        <is>
          <t>1.32^24 x (1 + 220.7%)</t>
        </is>
      </c>
    </row>
    <row r="25">
      <c r="A25" s="4" t="n">
        <v>25</v>
      </c>
      <c r="B25" s="5" t="n">
        <v>240</v>
      </c>
      <c r="C25" s="6">
        <f>1.32^A25</f>
        <v/>
      </c>
      <c r="D25" s="6">
        <f>C25*(1+B25/100)</f>
        <v/>
      </c>
      <c r="E25" s="5" t="inlineStr">
        <is>
          <t>1.32^25 x (1 + 240.0%)</t>
        </is>
      </c>
    </row>
    <row r="26">
      <c r="A26" s="4" t="n">
        <v>26</v>
      </c>
      <c r="B26" s="5" t="n">
        <v>260.4</v>
      </c>
      <c r="C26" s="6">
        <f>1.32^A26</f>
        <v/>
      </c>
      <c r="D26" s="6">
        <f>C26*(1+B26/100)</f>
        <v/>
      </c>
      <c r="E26" s="5" t="inlineStr">
        <is>
          <t>1.32^26 x (1 + 260.4%)</t>
        </is>
      </c>
    </row>
    <row r="27">
      <c r="A27" s="4" t="n">
        <v>27</v>
      </c>
      <c r="B27" s="5" t="n">
        <v>282</v>
      </c>
      <c r="C27" s="6">
        <f>1.32^A27</f>
        <v/>
      </c>
      <c r="D27" s="6">
        <f>C27*(1+B27/100)</f>
        <v/>
      </c>
      <c r="E27" s="5" t="inlineStr">
        <is>
          <t>1.32^27 x (1 + 282.0%)</t>
        </is>
      </c>
    </row>
    <row r="28">
      <c r="A28" s="4" t="n">
        <v>28</v>
      </c>
      <c r="B28" s="5" t="n">
        <v>304.9</v>
      </c>
      <c r="C28" s="6">
        <f>1.32^A28</f>
        <v/>
      </c>
      <c r="D28" s="6">
        <f>C28*(1+B28/100)</f>
        <v/>
      </c>
      <c r="E28" s="5" t="inlineStr">
        <is>
          <t>1.32^28 x (1 + 304.9%)</t>
        </is>
      </c>
    </row>
    <row r="29">
      <c r="A29" s="4" t="n">
        <v>29</v>
      </c>
      <c r="B29" s="5" t="n">
        <v>329.2</v>
      </c>
      <c r="C29" s="6">
        <f>1.32^A29</f>
        <v/>
      </c>
      <c r="D29" s="6">
        <f>C29*(1+B29/100)</f>
        <v/>
      </c>
      <c r="E29" s="5" t="inlineStr">
        <is>
          <t>1.32^29 x (1 + 329.2%)</t>
        </is>
      </c>
    </row>
    <row r="30">
      <c r="A30" s="4" t="n">
        <v>30</v>
      </c>
      <c r="B30" s="5" t="n">
        <v>354.9</v>
      </c>
      <c r="C30" s="6">
        <f>1.32^A30</f>
        <v/>
      </c>
      <c r="D30" s="6">
        <f>C30*(1+B30/100)</f>
        <v/>
      </c>
      <c r="E30" s="5" t="inlineStr">
        <is>
          <t>1.32^30 x (1 + 354.9%)</t>
        </is>
      </c>
    </row>
    <row r="36">
      <c r="A36" s="2" t="inlineStr">
        <is>
          <t>TABELLA ASSICURAZIONE (7+ Eventi)</t>
        </is>
      </c>
    </row>
    <row r="37">
      <c r="A37" s="3" t="inlineStr">
        <is>
          <t>N Eventi</t>
        </is>
      </c>
      <c r="B37" s="3" t="inlineStr">
        <is>
          <t>1 Errore</t>
        </is>
      </c>
      <c r="C37" s="3" t="inlineStr">
        <is>
          <t>2 Errori</t>
        </is>
      </c>
      <c r="D37" s="3" t="inlineStr">
        <is>
          <t>3 Errori</t>
        </is>
      </c>
      <c r="E37" s="3" t="inlineStr">
        <is>
          <t>Rimborso Max</t>
        </is>
      </c>
    </row>
    <row r="38">
      <c r="A38" s="4" t="n">
        <v>4</v>
      </c>
      <c r="B38" s="5" t="n">
        <v>30</v>
      </c>
      <c r="C38" s="5" t="n">
        <v>10</v>
      </c>
      <c r="D38" s="5" t="n">
        <v>0</v>
      </c>
      <c r="E38" s="5" t="n">
        <v>50</v>
      </c>
    </row>
    <row r="39">
      <c r="A39" s="4" t="n">
        <v>5</v>
      </c>
      <c r="B39" s="5" t="n">
        <v>60</v>
      </c>
      <c r="C39" s="5" t="n">
        <v>30</v>
      </c>
      <c r="D39" s="5" t="n">
        <v>10</v>
      </c>
      <c r="E39" s="5" t="n">
        <v>50</v>
      </c>
    </row>
    <row r="40">
      <c r="A40" s="4" t="n">
        <v>6</v>
      </c>
      <c r="B40" s="5" t="n">
        <v>80</v>
      </c>
      <c r="C40" s="5" t="n">
        <v>60</v>
      </c>
      <c r="D40" s="5" t="n">
        <v>30</v>
      </c>
      <c r="E40" s="5" t="n">
        <v>50</v>
      </c>
    </row>
    <row r="41">
      <c r="A41" s="4" t="n">
        <v>7</v>
      </c>
      <c r="B41" s="5" t="n">
        <v>100</v>
      </c>
      <c r="C41" s="5" t="n">
        <v>80</v>
      </c>
      <c r="D41" s="5" t="n">
        <v>60</v>
      </c>
      <c r="E41" s="5" t="n">
        <v>50</v>
      </c>
    </row>
    <row r="44">
      <c r="A44" s="7" t="inlineStr">
        <is>
          <t>QUOTA MINIMA: 1.25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MADRE S0 - 12 EVENTI UNDER 3.5 @ 1.32</t>
        </is>
      </c>
    </row>
    <row r="3">
      <c r="A3" s="3" t="inlineStr">
        <is>
          <t>#</t>
        </is>
      </c>
      <c r="B3" s="3" t="inlineStr">
        <is>
          <t>Squadra</t>
        </is>
      </c>
      <c r="C3" s="3" t="inlineStr">
        <is>
          <t>Mercato</t>
        </is>
      </c>
      <c r="D3" s="3" t="inlineStr">
        <is>
          <t>Quota</t>
        </is>
      </c>
      <c r="E3" s="3" t="inlineStr">
        <is>
          <t>Esito</t>
        </is>
      </c>
      <c r="F3" s="3" t="inlineStr">
        <is>
          <t>In Bonus?</t>
        </is>
      </c>
      <c r="G3" s="3" t="inlineStr">
        <is>
          <t>In Assicurazione?</t>
        </is>
      </c>
    </row>
    <row r="4">
      <c r="A4" s="5" t="n">
        <v>1</v>
      </c>
      <c r="B4" s="5" t="inlineStr">
        <is>
          <t>TeamA - TeamB</t>
        </is>
      </c>
      <c r="C4" s="5" t="inlineStr">
        <is>
          <t>UNDER 3.5</t>
        </is>
      </c>
      <c r="D4" s="8" t="n">
        <v>1.32</v>
      </c>
      <c r="E4" s="5" t="inlineStr">
        <is>
          <t>PENDING</t>
        </is>
      </c>
      <c r="F4" s="5" t="inlineStr">
        <is>
          <t>SI</t>
        </is>
      </c>
      <c r="G4" s="5" t="inlineStr">
        <is>
          <t>NO</t>
        </is>
      </c>
    </row>
    <row r="5">
      <c r="A5" s="5" t="n">
        <v>2</v>
      </c>
      <c r="B5" s="5" t="inlineStr">
        <is>
          <t>TeamC - TeamD</t>
        </is>
      </c>
      <c r="C5" s="5" t="inlineStr">
        <is>
          <t>UNDER 3.5</t>
        </is>
      </c>
      <c r="D5" s="8" t="n">
        <v>1.32</v>
      </c>
      <c r="E5" s="5" t="inlineStr">
        <is>
          <t>PENDING</t>
        </is>
      </c>
      <c r="F5" s="5" t="inlineStr">
        <is>
          <t>SI</t>
        </is>
      </c>
      <c r="G5" s="5" t="inlineStr">
        <is>
          <t>NO</t>
        </is>
      </c>
    </row>
    <row r="6">
      <c r="A6" s="5" t="n">
        <v>3</v>
      </c>
      <c r="B6" s="5" t="inlineStr">
        <is>
          <t>TeamE - TeamF</t>
        </is>
      </c>
      <c r="C6" s="5" t="inlineStr">
        <is>
          <t>UNDER 3.5</t>
        </is>
      </c>
      <c r="D6" s="8" t="n">
        <v>1.32</v>
      </c>
      <c r="E6" s="5" t="inlineStr">
        <is>
          <t>PENDING</t>
        </is>
      </c>
      <c r="F6" s="5" t="inlineStr">
        <is>
          <t>SI</t>
        </is>
      </c>
      <c r="G6" s="5" t="inlineStr">
        <is>
          <t>NO</t>
        </is>
      </c>
    </row>
    <row r="7">
      <c r="A7" s="5" t="n">
        <v>4</v>
      </c>
      <c r="B7" s="5" t="inlineStr">
        <is>
          <t>TeamG - TeamH</t>
        </is>
      </c>
      <c r="C7" s="5" t="inlineStr">
        <is>
          <t>UNDER 3.5</t>
        </is>
      </c>
      <c r="D7" s="8" t="n">
        <v>1.32</v>
      </c>
      <c r="E7" s="5" t="inlineStr">
        <is>
          <t>PENDING</t>
        </is>
      </c>
      <c r="F7" s="5" t="inlineStr">
        <is>
          <t>SI</t>
        </is>
      </c>
      <c r="G7" s="5" t="inlineStr">
        <is>
          <t>NO</t>
        </is>
      </c>
    </row>
    <row r="8">
      <c r="A8" s="5" t="n">
        <v>5</v>
      </c>
      <c r="B8" s="5" t="inlineStr">
        <is>
          <t>TeamI - TeamL</t>
        </is>
      </c>
      <c r="C8" s="5" t="inlineStr">
        <is>
          <t>UNDER 3.5</t>
        </is>
      </c>
      <c r="D8" s="8" t="n">
        <v>1.32</v>
      </c>
      <c r="E8" s="5" t="inlineStr">
        <is>
          <t>PENDING</t>
        </is>
      </c>
      <c r="F8" s="5" t="inlineStr">
        <is>
          <t>SI</t>
        </is>
      </c>
      <c r="G8" s="5" t="inlineStr">
        <is>
          <t>NO</t>
        </is>
      </c>
    </row>
    <row r="9">
      <c r="A9" s="5" t="n">
        <v>6</v>
      </c>
      <c r="B9" s="5" t="inlineStr">
        <is>
          <t>TeamM - TeamN</t>
        </is>
      </c>
      <c r="C9" s="5" t="inlineStr">
        <is>
          <t>UNDER 3.5</t>
        </is>
      </c>
      <c r="D9" s="8" t="n">
        <v>1.32</v>
      </c>
      <c r="E9" s="5" t="inlineStr">
        <is>
          <t>PENDING</t>
        </is>
      </c>
      <c r="F9" s="5" t="inlineStr">
        <is>
          <t>SI</t>
        </is>
      </c>
      <c r="G9" s="5" t="inlineStr">
        <is>
          <t>NO</t>
        </is>
      </c>
    </row>
    <row r="10">
      <c r="A10" s="5" t="n">
        <v>7</v>
      </c>
      <c r="B10" s="5" t="inlineStr">
        <is>
          <t>TeamO - TeamP</t>
        </is>
      </c>
      <c r="C10" s="5" t="inlineStr">
        <is>
          <t>UNDER 3.5</t>
        </is>
      </c>
      <c r="D10" s="8" t="n">
        <v>1.32</v>
      </c>
      <c r="E10" s="5" t="inlineStr">
        <is>
          <t>PENDING</t>
        </is>
      </c>
      <c r="F10" s="5" t="inlineStr">
        <is>
          <t>SI</t>
        </is>
      </c>
      <c r="G10" s="5" t="inlineStr">
        <is>
          <t>NO</t>
        </is>
      </c>
    </row>
    <row r="11">
      <c r="A11" s="5" t="n">
        <v>8</v>
      </c>
      <c r="B11" s="5" t="inlineStr">
        <is>
          <t>TeamQ - TeamR</t>
        </is>
      </c>
      <c r="C11" s="5" t="inlineStr">
        <is>
          <t>UNDER 3.5</t>
        </is>
      </c>
      <c r="D11" s="8" t="n">
        <v>1.32</v>
      </c>
      <c r="E11" s="5" t="inlineStr">
        <is>
          <t>PENDING</t>
        </is>
      </c>
      <c r="F11" s="5" t="inlineStr">
        <is>
          <t>SI</t>
        </is>
      </c>
      <c r="G11" s="5" t="inlineStr">
        <is>
          <t>NO</t>
        </is>
      </c>
    </row>
    <row r="12">
      <c r="A12" s="5" t="n">
        <v>9</v>
      </c>
      <c r="B12" s="5" t="inlineStr">
        <is>
          <t>TeamS - TeamT</t>
        </is>
      </c>
      <c r="C12" s="5" t="inlineStr">
        <is>
          <t>UNDER 3.5</t>
        </is>
      </c>
      <c r="D12" s="8" t="n">
        <v>1.32</v>
      </c>
      <c r="E12" s="5" t="inlineStr">
        <is>
          <t>PENDING</t>
        </is>
      </c>
      <c r="F12" s="5" t="inlineStr">
        <is>
          <t>SI</t>
        </is>
      </c>
      <c r="G12" s="5" t="inlineStr">
        <is>
          <t>SI</t>
        </is>
      </c>
    </row>
    <row r="13">
      <c r="A13" s="5" t="n">
        <v>10</v>
      </c>
      <c r="B13" s="5" t="inlineStr">
        <is>
          <t>TeamU - TeamV</t>
        </is>
      </c>
      <c r="C13" s="5" t="inlineStr">
        <is>
          <t>UNDER 3.5</t>
        </is>
      </c>
      <c r="D13" s="8" t="n">
        <v>1.32</v>
      </c>
      <c r="E13" s="5" t="inlineStr">
        <is>
          <t>PENDING</t>
        </is>
      </c>
      <c r="F13" s="5" t="inlineStr">
        <is>
          <t>SI</t>
        </is>
      </c>
      <c r="G13" s="5" t="inlineStr">
        <is>
          <t>SI</t>
        </is>
      </c>
    </row>
    <row r="14">
      <c r="A14" s="5" t="n">
        <v>11</v>
      </c>
      <c r="B14" s="5" t="inlineStr">
        <is>
          <t>TeamW - TeamX</t>
        </is>
      </c>
      <c r="C14" s="5" t="inlineStr">
        <is>
          <t>UNDER 3.5</t>
        </is>
      </c>
      <c r="D14" s="8" t="n">
        <v>1.32</v>
      </c>
      <c r="E14" s="5" t="inlineStr">
        <is>
          <t>PENDING</t>
        </is>
      </c>
      <c r="F14" s="5" t="inlineStr">
        <is>
          <t>SI</t>
        </is>
      </c>
      <c r="G14" s="5" t="inlineStr">
        <is>
          <t>SI</t>
        </is>
      </c>
    </row>
    <row r="15">
      <c r="A15" s="5" t="n">
        <v>12</v>
      </c>
      <c r="B15" s="5" t="inlineStr">
        <is>
          <t>TeamY - TeamZ</t>
        </is>
      </c>
      <c r="C15" s="5" t="inlineStr">
        <is>
          <t>UNDER 3.5</t>
        </is>
      </c>
      <c r="D15" s="8" t="n">
        <v>1.32</v>
      </c>
      <c r="E15" s="5" t="inlineStr">
        <is>
          <t>PENDING</t>
        </is>
      </c>
      <c r="F15" s="5" t="inlineStr">
        <is>
          <t>SI</t>
        </is>
      </c>
      <c r="G15" s="5" t="inlineStr">
        <is>
          <t>SI</t>
        </is>
      </c>
    </row>
    <row r="20">
      <c r="A20" s="2" t="inlineStr">
        <is>
          <t>CALCOLO MADRE</t>
        </is>
      </c>
    </row>
    <row r="21">
      <c r="A21" t="inlineStr">
        <is>
          <t>N eventi totali</t>
        </is>
      </c>
      <c r="B21" t="n">
        <v>12</v>
      </c>
    </row>
    <row r="22">
      <c r="A22" t="inlineStr">
        <is>
          <t>Quota Under</t>
        </is>
      </c>
      <c r="B22" t="n">
        <v>1.32</v>
      </c>
    </row>
    <row r="23">
      <c r="A23" t="inlineStr">
        <is>
          <t>Raw multipla (1.32^N)</t>
        </is>
      </c>
      <c r="B23" s="9">
        <f>B22^B21</f>
        <v/>
      </c>
    </row>
    <row r="24">
      <c r="A24" t="inlineStr">
        <is>
          <t>N per BONUS</t>
        </is>
      </c>
      <c r="B24">
        <f>MIN(B21,12)</f>
        <v/>
      </c>
    </row>
    <row r="25">
      <c r="A25" t="inlineStr">
        <is>
          <t>% BONUS (tabella)</t>
        </is>
      </c>
      <c r="B25" t="n">
        <v>59.4</v>
      </c>
    </row>
    <row r="26">
      <c r="A26" t="inlineStr">
        <is>
          <t>Moltiplicatore FINALE</t>
        </is>
      </c>
      <c r="B26" s="10">
        <f>B23*(1+B25/100)</f>
        <v/>
      </c>
    </row>
    <row r="27">
      <c r="A27" t="inlineStr">
        <is>
          <t>Stake (round 50c)</t>
        </is>
      </c>
      <c r="B27" t="n">
        <v>2</v>
      </c>
    </row>
    <row r="28">
      <c r="A28" t="inlineStr">
        <is>
          <t>Vincita Lorda</t>
        </is>
      </c>
      <c r="B28" s="11">
        <f>B27*B26</f>
        <v/>
      </c>
    </row>
    <row r="29">
      <c r="A29" t="inlineStr">
        <is>
          <t>Target Profit</t>
        </is>
      </c>
      <c r="B29" t="n">
        <v>45</v>
      </c>
    </row>
    <row r="30">
      <c r="A30" t="inlineStr">
        <is>
          <t>Costo Totale ciclo</t>
        </is>
      </c>
      <c r="B30" t="n">
        <v>221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COPERTURE SEQUENCIALI - BONUS DECRESCENTE</t>
        </is>
      </c>
    </row>
    <row r="3">
      <c r="A3" s="3" t="inlineStr">
        <is>
          <t>Step</t>
        </is>
      </c>
      <c r="B3" s="3" t="inlineStr">
        <is>
          <t>Eventi Totali</t>
        </is>
      </c>
      <c r="C3" s="3" t="inlineStr">
        <is>
          <t>N_pending</t>
        </is>
      </c>
      <c r="D3" s="3" t="inlineStr">
        <is>
          <t>N_bonus</t>
        </is>
      </c>
      <c r="E3" s="3" t="inlineStr">
        <is>
          <t>% BONUS</t>
        </is>
      </c>
      <c r="F3" s="3" t="inlineStr">
        <is>
          <t>Quote</t>
        </is>
      </c>
      <c r="G3" s="3" t="inlineStr">
        <is>
          <t>Molt.Finale</t>
        </is>
      </c>
      <c r="H3" s="3" t="inlineStr">
        <is>
          <t>Stake</t>
        </is>
      </c>
      <c r="I3" s="3" t="inlineStr">
        <is>
          <t>Vincita</t>
        </is>
      </c>
      <c r="J3" s="3" t="inlineStr">
        <is>
          <t>Cum.Cost</t>
        </is>
      </c>
    </row>
    <row r="4">
      <c r="A4" s="5" t="inlineStr">
        <is>
          <t>Cop.1</t>
        </is>
      </c>
      <c r="B4" s="5" t="n">
        <v>11</v>
      </c>
      <c r="C4" s="5" t="n">
        <v>10</v>
      </c>
      <c r="D4" s="5" t="n">
        <v>10</v>
      </c>
      <c r="E4" s="12" t="n">
        <v>50.4</v>
      </c>
      <c r="F4" s="13">
        <f>1.32^C4</f>
        <v/>
      </c>
      <c r="G4" s="13">
        <f>F4*(1+E4/100)</f>
        <v/>
      </c>
      <c r="H4" s="5" t="n">
        <v>0</v>
      </c>
      <c r="I4" s="5" t="n">
        <v>0</v>
      </c>
      <c r="J4" s="5" t="n">
        <v>0</v>
      </c>
    </row>
    <row r="5">
      <c r="A5" s="5" t="inlineStr">
        <is>
          <t>Cop.2</t>
        </is>
      </c>
      <c r="B5" s="5" t="n">
        <v>10</v>
      </c>
      <c r="C5" s="5" t="n">
        <v>9</v>
      </c>
      <c r="D5" s="5" t="n">
        <v>9</v>
      </c>
      <c r="E5" s="12" t="n">
        <v>41.9</v>
      </c>
      <c r="F5" s="13">
        <f>1.32^C5</f>
        <v/>
      </c>
      <c r="G5" s="13">
        <f>F5*(1+E5/100)</f>
        <v/>
      </c>
      <c r="H5" s="5" t="n">
        <v>0</v>
      </c>
      <c r="I5" s="5" t="n">
        <v>0</v>
      </c>
      <c r="J5" s="5" t="n">
        <v>0</v>
      </c>
    </row>
    <row r="6">
      <c r="A6" s="5" t="inlineStr">
        <is>
          <t>Cop.3</t>
        </is>
      </c>
      <c r="B6" s="5" t="n">
        <v>9</v>
      </c>
      <c r="C6" s="5" t="n">
        <v>8</v>
      </c>
      <c r="D6" s="5" t="n">
        <v>8</v>
      </c>
      <c r="E6" s="12" t="n">
        <v>33.8</v>
      </c>
      <c r="F6" s="13">
        <f>1.32^C6</f>
        <v/>
      </c>
      <c r="G6" s="13">
        <f>F6*(1+E6/100)</f>
        <v/>
      </c>
      <c r="H6" s="5" t="n">
        <v>0</v>
      </c>
      <c r="I6" s="5" t="n">
        <v>0</v>
      </c>
      <c r="J6" s="5" t="n">
        <v>0</v>
      </c>
    </row>
    <row r="7">
      <c r="A7" s="5" t="inlineStr">
        <is>
          <t>Cop.4</t>
        </is>
      </c>
      <c r="B7" s="5" t="n">
        <v>8</v>
      </c>
      <c r="C7" s="5" t="n">
        <v>7</v>
      </c>
      <c r="D7" s="5" t="n">
        <v>7</v>
      </c>
      <c r="E7" s="12" t="n">
        <v>26.2</v>
      </c>
      <c r="F7" s="13">
        <f>1.32^C7</f>
        <v/>
      </c>
      <c r="G7" s="13">
        <f>F7*(1+E7/100)</f>
        <v/>
      </c>
      <c r="H7" s="5" t="n">
        <v>0</v>
      </c>
      <c r="I7" s="5" t="n">
        <v>0</v>
      </c>
      <c r="J7" s="5" t="n">
        <v>0</v>
      </c>
    </row>
    <row r="8">
      <c r="A8" s="5" t="inlineStr">
        <is>
          <t>Cop.5</t>
        </is>
      </c>
      <c r="B8" s="5" t="n">
        <v>7</v>
      </c>
      <c r="C8" s="5" t="n">
        <v>6</v>
      </c>
      <c r="D8" s="5" t="n">
        <v>6</v>
      </c>
      <c r="E8" s="12" t="n">
        <v>19.1</v>
      </c>
      <c r="F8" s="13">
        <f>1.32^C8</f>
        <v/>
      </c>
      <c r="G8" s="13">
        <f>F8*(1+E8/100)</f>
        <v/>
      </c>
      <c r="H8" s="5" t="n">
        <v>0</v>
      </c>
      <c r="I8" s="5" t="n">
        <v>0</v>
      </c>
      <c r="J8" s="5" t="n">
        <v>0</v>
      </c>
    </row>
    <row r="9">
      <c r="A9" s="5" t="inlineStr">
        <is>
          <t>Cop.6</t>
        </is>
      </c>
      <c r="B9" s="5" t="n">
        <v>6</v>
      </c>
      <c r="C9" s="5" t="n">
        <v>5</v>
      </c>
      <c r="D9" s="5" t="n">
        <v>5</v>
      </c>
      <c r="E9" s="12" t="n">
        <v>12.4</v>
      </c>
      <c r="F9" s="13">
        <f>1.32^C9</f>
        <v/>
      </c>
      <c r="G9" s="13">
        <f>F9*(1+E9/100)</f>
        <v/>
      </c>
      <c r="H9" s="5" t="n">
        <v>0</v>
      </c>
      <c r="I9" s="5" t="n">
        <v>0</v>
      </c>
      <c r="J9" s="5" t="n">
        <v>0</v>
      </c>
    </row>
    <row r="10">
      <c r="A10" s="5" t="inlineStr">
        <is>
          <t>Cop.7</t>
        </is>
      </c>
      <c r="B10" s="5" t="n">
        <v>5</v>
      </c>
      <c r="C10" s="5" t="n">
        <v>4</v>
      </c>
      <c r="D10" s="5" t="n">
        <v>4</v>
      </c>
      <c r="E10" s="12" t="n">
        <v>0</v>
      </c>
      <c r="F10" s="13">
        <f>1.32^C10</f>
        <v/>
      </c>
      <c r="G10" s="13">
        <f>F10*(1+E10/100)</f>
        <v/>
      </c>
      <c r="H10" s="5" t="n">
        <v>0</v>
      </c>
      <c r="I10" s="5" t="n">
        <v>0</v>
      </c>
      <c r="J10" s="5" t="n">
        <v>0</v>
      </c>
    </row>
    <row r="11">
      <c r="A11" s="14" t="inlineStr">
        <is>
          <t>STEP 7: NESSUN BONUS -&gt; ASSICURAZIONE ATTIVA</t>
        </is>
      </c>
    </row>
    <row r="15">
      <c r="A15" s="2" t="inlineStr">
        <is>
          <t>RIEPILOGO</t>
        </is>
      </c>
    </row>
    <row r="16">
      <c r="A16" t="inlineStr">
        <is>
          <t>Costo Madre S0</t>
        </is>
      </c>
      <c r="B16" t="n">
        <v>20</v>
      </c>
    </row>
    <row r="17">
      <c r="A17" t="inlineStr">
        <is>
          <t>Costo Coperture</t>
        </is>
      </c>
    </row>
    <row r="18">
      <c r="A18" t="inlineStr">
        <is>
          <t>Costo Totale</t>
        </is>
      </c>
      <c r="B18" s="15">
        <f>B16+SUM(H8:H10)</f>
        <v/>
      </c>
    </row>
    <row r="19">
      <c r="A19" t="inlineStr">
        <is>
          <t>Vincita se Madre vince</t>
        </is>
      </c>
      <c r="B19">
        <f>B18*1.32^12*1.594</f>
        <v/>
      </c>
    </row>
    <row r="20">
      <c r="A20" t="inlineStr">
        <is>
          <t>Vincita se C7 vince</t>
        </is>
      </c>
      <c r="B20">
        <f>H10*G10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CALCOLO ASSICURAZIONE - STEP 5 EVENTI</t>
        </is>
      </c>
    </row>
    <row r="3">
      <c r="A3" s="16" t="inlineStr">
        <is>
          <t>Regola: N_internal=confermati+pending | N_slip=sole pending</t>
        </is>
      </c>
    </row>
    <row r="5">
      <c r="A5" s="17" t="inlineStr">
        <is>
          <t>Scenario: M1-M7 UNDER, M8 OVER (Madre persa)</t>
        </is>
      </c>
    </row>
    <row r="7">
      <c r="A7" s="3" t="inlineStr">
        <is>
          <t>Evento</t>
        </is>
      </c>
      <c r="B7" s="3" t="inlineStr">
        <is>
          <t>Squadra</t>
        </is>
      </c>
      <c r="C7" s="3" t="inlineStr">
        <is>
          <t>Stato</t>
        </is>
      </c>
      <c r="D7" s="3" t="inlineStr">
        <is>
          <t>In Conteggio?</t>
        </is>
      </c>
      <c r="E7" s="3" t="inlineStr">
        <is>
          <t>In Bonus?</t>
        </is>
      </c>
      <c r="F7" s="3" t="inlineStr">
        <is>
          <t>In Assicurazione?</t>
        </is>
      </c>
      <c r="G7" s="3" t="inlineStr">
        <is>
          <t>Note</t>
        </is>
      </c>
    </row>
    <row r="8">
      <c r="A8" s="18" t="inlineStr">
        <is>
          <t>M8</t>
        </is>
      </c>
      <c r="B8" s="18" t="inlineStr">
        <is>
          <t>TeamQ-TeamR</t>
        </is>
      </c>
      <c r="C8" s="18" t="inlineStr">
        <is>
          <t>OVER</t>
        </is>
      </c>
      <c r="D8" s="18" t="inlineStr">
        <is>
          <t>CONFIRMED</t>
        </is>
      </c>
      <c r="E8" s="18" t="inlineStr">
        <is>
          <t>NO</t>
        </is>
      </c>
      <c r="F8" s="18" t="inlineStr">
        <is>
          <t>SI</t>
        </is>
      </c>
      <c r="G8" s="18" t="inlineStr">
        <is>
          <t>Già risolta</t>
        </is>
      </c>
    </row>
    <row r="9">
      <c r="A9" s="18" t="inlineStr">
        <is>
          <t>M9</t>
        </is>
      </c>
      <c r="B9" s="18" t="inlineStr">
        <is>
          <t>TeamS-TeamT</t>
        </is>
      </c>
      <c r="C9" s="18" t="inlineStr">
        <is>
          <t>PENDING</t>
        </is>
      </c>
      <c r="D9" s="18" t="inlineStr">
        <is>
          <t>PENDING</t>
        </is>
      </c>
      <c r="E9" s="18" t="inlineStr">
        <is>
          <t>NO</t>
        </is>
      </c>
      <c r="F9" s="18" t="inlineStr">
        <is>
          <t>SI</t>
        </is>
      </c>
      <c r="G9" s="18" t="inlineStr"/>
    </row>
    <row r="10">
      <c r="A10" s="18" t="inlineStr">
        <is>
          <t>M10</t>
        </is>
      </c>
      <c r="B10" s="18" t="inlineStr">
        <is>
          <t>TeamU-TeamV</t>
        </is>
      </c>
      <c r="C10" s="18" t="inlineStr">
        <is>
          <t>PENDING</t>
        </is>
      </c>
      <c r="D10" s="18" t="inlineStr">
        <is>
          <t>PENDING</t>
        </is>
      </c>
      <c r="E10" s="18" t="inlineStr">
        <is>
          <t>NO</t>
        </is>
      </c>
      <c r="F10" s="18" t="inlineStr">
        <is>
          <t>SI</t>
        </is>
      </c>
      <c r="G10" s="18" t="inlineStr"/>
    </row>
    <row r="11">
      <c r="A11" s="18" t="inlineStr">
        <is>
          <t>M11</t>
        </is>
      </c>
      <c r="B11" s="18" t="inlineStr">
        <is>
          <t>TeamW-TeamX</t>
        </is>
      </c>
      <c r="C11" s="18" t="inlineStr">
        <is>
          <t>PENDING</t>
        </is>
      </c>
      <c r="D11" s="18" t="inlineStr">
        <is>
          <t>PENDING</t>
        </is>
      </c>
      <c r="E11" s="18" t="inlineStr">
        <is>
          <t>NO</t>
        </is>
      </c>
      <c r="F11" s="18" t="inlineStr">
        <is>
          <t>SI</t>
        </is>
      </c>
      <c r="G11" s="18" t="inlineStr"/>
    </row>
    <row r="12">
      <c r="A12" s="18" t="inlineStr">
        <is>
          <t>M12</t>
        </is>
      </c>
      <c r="B12" s="18" t="inlineStr">
        <is>
          <t>TeamY-TeamZ</t>
        </is>
      </c>
      <c r="C12" s="18" t="inlineStr">
        <is>
          <t>PENDING</t>
        </is>
      </c>
      <c r="D12" s="18" t="inlineStr">
        <is>
          <t>PENDING</t>
        </is>
      </c>
      <c r="E12" s="18" t="inlineStr">
        <is>
          <t>NO</t>
        </is>
      </c>
      <c r="F12" s="18" t="inlineStr">
        <is>
          <t>SI</t>
        </is>
      </c>
      <c r="G12" s="18" t="inlineStr"/>
    </row>
    <row r="15">
      <c r="A15" s="2" t="inlineStr">
        <is>
          <t>CALCOLO</t>
        </is>
      </c>
    </row>
    <row r="16">
      <c r="A16" t="inlineStr">
        <is>
          <t>N_internal (conf+pending)</t>
        </is>
      </c>
      <c r="B16">
        <f>1+4</f>
        <v/>
      </c>
    </row>
    <row r="17">
      <c r="A17" t="inlineStr">
        <is>
          <t>N_slip (solo pending)</t>
        </is>
      </c>
      <c r="B17" t="n">
        <v>4</v>
      </c>
    </row>
    <row r="18">
      <c r="A18" t="inlineStr">
        <is>
          <t>Quote (1.32^N_slip)</t>
        </is>
      </c>
      <c r="B18" s="9">
        <f>1.32^B17</f>
        <v/>
      </c>
    </row>
    <row r="19">
      <c r="A19" t="inlineStr">
        <is>
          <t>% BONUS (N_slip=4)</t>
        </is>
      </c>
      <c r="B19" t="n">
        <v>0</v>
      </c>
    </row>
    <row r="20">
      <c r="A20" t="inlineStr">
        <is>
          <t>Moltiplicatore FINALE</t>
        </is>
      </c>
      <c r="B20" s="19">
        <f>B18*(1+B19/100)</f>
        <v/>
      </c>
    </row>
    <row r="21">
      <c r="A21" t="inlineStr">
        <is>
          <t>Stake Step</t>
        </is>
      </c>
      <c r="B21" t="n">
        <v>25</v>
      </c>
    </row>
    <row r="22">
      <c r="A22" t="inlineStr">
        <is>
          <t>Vincita Lorda</t>
        </is>
      </c>
      <c r="B22">
        <f>B22*B20</f>
        <v/>
      </c>
    </row>
    <row r="23">
      <c r="A23" t="inlineStr">
        <is>
          <t>ASSICURAZIONE 1 errore (60%)</t>
        </is>
      </c>
      <c r="B23" s="20">
        <f>MIN(B22,50)*0.60</f>
        <v/>
      </c>
    </row>
    <row r="24">
      <c r="A24" t="inlineStr">
        <is>
          <t>ASSICURAZIONE 2 errori (30%)</t>
        </is>
      </c>
      <c r="B24">
        <f>MIN(B22,50)*0.30</f>
        <v/>
      </c>
    </row>
    <row r="25">
      <c r="A25" t="inlineStr">
        <is>
          <t>ASSICURAZIONE 3 errori (10%)</t>
        </is>
      </c>
      <c r="B25">
        <f>MIN(B22,50)*0.10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SCENARIO REALE - 7 UNDER + 1 OVER + 4 PENDING</t>
        </is>
      </c>
    </row>
    <row r="4">
      <c r="A4" s="3" t="inlineStr">
        <is>
          <t>Step</t>
        </is>
      </c>
      <c r="B4" s="3" t="inlineStr">
        <is>
          <t>Tipo</t>
        </is>
      </c>
      <c r="C4" s="3" t="inlineStr">
        <is>
          <t>Eventi Tot</t>
        </is>
      </c>
      <c r="D4" s="3" t="inlineStr">
        <is>
          <t>N_pending</t>
        </is>
      </c>
      <c r="E4" s="3" t="inlineStr">
        <is>
          <t>Bonus%</t>
        </is>
      </c>
      <c r="F4" s="3" t="inlineStr">
        <is>
          <t>Quote</t>
        </is>
      </c>
      <c r="G4" s="3" t="inlineStr">
        <is>
          <t>Molt.Fin</t>
        </is>
      </c>
      <c r="H4" s="3" t="inlineStr">
        <is>
          <t>Stake</t>
        </is>
      </c>
      <c r="I4" s="3" t="inlineStr">
        <is>
          <t>Vincita</t>
        </is>
      </c>
      <c r="J4" s="3" t="inlineStr">
        <is>
          <t>Esito</t>
        </is>
      </c>
    </row>
    <row r="5">
      <c r="A5" s="5" t="inlineStr">
        <is>
          <t>S0</t>
        </is>
      </c>
      <c r="B5" s="5" t="inlineStr">
        <is>
          <t>Madre</t>
        </is>
      </c>
      <c r="C5" s="5" t="n">
        <v>12</v>
      </c>
      <c r="D5" s="5" t="n">
        <v>12</v>
      </c>
      <c r="E5" s="12" t="n">
        <v>59.4</v>
      </c>
      <c r="F5" s="8">
        <f>1.32^12</f>
        <v/>
      </c>
      <c r="G5" s="13">
        <f>F5*(1+E5/100)</f>
        <v/>
      </c>
      <c r="H5" s="8" t="n">
        <v>2</v>
      </c>
      <c r="I5" s="8">
        <f>H5*G5</f>
        <v/>
      </c>
      <c r="J5" s="21" t="inlineStr">
        <is>
          <t>PERSA</t>
        </is>
      </c>
    </row>
    <row r="6">
      <c r="A6" s="5" t="inlineStr">
        <is>
          <t>C8</t>
        </is>
      </c>
      <c r="B6" s="5" t="inlineStr">
        <is>
          <t>Copertura</t>
        </is>
      </c>
      <c r="C6" s="5" t="n">
        <v>5</v>
      </c>
      <c r="D6" s="5" t="n">
        <v>4</v>
      </c>
      <c r="E6" s="12" t="n"/>
      <c r="F6" s="8">
        <f>1.32^4</f>
        <v/>
      </c>
      <c r="G6" s="13">
        <f>F6*(1+E6/100)</f>
        <v/>
      </c>
      <c r="H6" s="8" t="n">
        <v>25</v>
      </c>
      <c r="I6" s="8">
        <f>H6*G6</f>
        <v/>
      </c>
      <c r="J6" s="5" t="inlineStr">
        <is>
          <t>ATTIVA</t>
        </is>
      </c>
    </row>
    <row r="7">
      <c r="A7" s="5" t="inlineStr">
        <is>
          <t>C8-EX</t>
        </is>
      </c>
      <c r="B7" s="5" t="inlineStr">
        <is>
          <t>Exchange</t>
        </is>
      </c>
      <c r="C7" s="5" t="n">
        <v>1</v>
      </c>
      <c r="D7" s="5" t="n">
        <v>0</v>
      </c>
      <c r="E7" s="12" t="n"/>
      <c r="F7" s="8" t="n">
        <v>2.75</v>
      </c>
      <c r="G7" s="13">
        <f>F7</f>
        <v/>
      </c>
      <c r="H7" s="8" t="n">
        <v>120</v>
      </c>
      <c r="I7" s="8">
        <f>H7*G7</f>
        <v/>
      </c>
      <c r="J7" s="18" t="inlineStr">
        <is>
          <t>LOCK</t>
        </is>
      </c>
    </row>
    <row r="11">
      <c r="A11" s="2" t="inlineStr">
        <is>
          <t>RIEPILOGO EV</t>
        </is>
      </c>
    </row>
    <row r="12">
      <c r="A12" t="inlineStr">
        <is>
          <t>Spesa Totale Ciclo</t>
        </is>
      </c>
      <c r="B12">
        <f>H5+H6+H7</f>
        <v/>
      </c>
    </row>
    <row r="13">
      <c r="A13" t="inlineStr">
        <is>
          <t>Vincita Madre (0 errori)</t>
        </is>
      </c>
      <c r="B13">
        <f>G5*H5</f>
        <v/>
      </c>
    </row>
    <row r="14">
      <c r="A14" t="inlineStr">
        <is>
          <t>P(0 errori)</t>
        </is>
      </c>
      <c r="B14" s="9">
        <f>0.7576^12</f>
        <v/>
      </c>
    </row>
    <row r="15">
      <c r="A15" t="inlineStr">
        <is>
          <t>P(1 errore)</t>
        </is>
      </c>
      <c r="B15" s="9">
        <f>12*0.3333*0.7576^11</f>
        <v/>
      </c>
    </row>
    <row r="16">
      <c r="A16" t="inlineStr">
        <is>
          <t>P(2+ errori)</t>
        </is>
      </c>
      <c r="B16" s="9">
        <f>1-B14-B15</f>
        <v/>
      </c>
    </row>
    <row r="17">
      <c r="A17" t="inlineStr">
        <is>
          <t>EV Totale</t>
        </is>
      </c>
      <c r="B17" s="22">
        <f>(B14*B13)-(B16*B12*0.4)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45" customWidth="1" min="3" max="3"/>
  </cols>
  <sheetData>
    <row r="1">
      <c r="A1" s="1" t="inlineStr">
        <is>
          <t>SCHEMA SCHEDINE - FORMULA COMPLETA</t>
        </is>
      </c>
    </row>
    <row r="3">
      <c r="A3" s="2" t="inlineStr">
        <is>
          <t>FORMULE GENERALI</t>
        </is>
      </c>
    </row>
    <row r="5">
      <c r="A5" s="23" t="inlineStr">
        <is>
          <t>N_eventi_totali</t>
        </is>
      </c>
      <c r="B5" s="9" t="inlineStr">
        <is>
          <t>Conteggio eventi (confermati+pending)</t>
        </is>
      </c>
    </row>
    <row r="6">
      <c r="A6" s="23" t="inlineStr">
        <is>
          <t>N_slip</t>
        </is>
      </c>
      <c r="B6" s="9" t="inlineStr">
        <is>
          <t>Sole eventi PENDING (per quote e bonus)</t>
        </is>
      </c>
    </row>
    <row r="7">
      <c r="A7" s="23" t="inlineStr">
        <is>
          <t>N_bonus</t>
        </is>
      </c>
      <c r="B7" s="9" t="inlineStr">
        <is>
          <t>MIN(N_slip,max_bonus) - per tabella bonus</t>
        </is>
      </c>
    </row>
    <row r="8">
      <c r="A8" s="23" t="inlineStr">
        <is>
          <t>raw_odds</t>
        </is>
      </c>
      <c r="B8" s="9" t="inlineStr">
        <is>
          <t>underOdds^N_slip</t>
        </is>
      </c>
    </row>
    <row r="9">
      <c r="A9" s="23" t="inlineStr">
        <is>
          <t>bonus_pct</t>
        </is>
      </c>
      <c r="B9" s="9" t="inlineStr">
        <is>
          <t>Tabelle[N_bonus]</t>
        </is>
      </c>
    </row>
    <row r="10">
      <c r="A10" s="23" t="inlineStr">
        <is>
          <t>final_odds</t>
        </is>
      </c>
      <c r="B10" s="9" t="inlineStr">
        <is>
          <t>raw_odds*(1+bonus_pct/100)</t>
        </is>
      </c>
    </row>
    <row r="11">
      <c r="A11" s="23" t="inlineStr">
        <is>
          <t>stake</t>
        </is>
      </c>
      <c r="B11" s="9" t="inlineStr">
        <is>
          <t>ROUND50[(speso+finance)/(final_odds-1)]</t>
        </is>
      </c>
    </row>
    <row r="12">
      <c r="A12" s="23" t="inlineStr">
        <is>
          <t>gross_win</t>
        </is>
      </c>
      <c r="B12" s="9" t="inlineStr">
        <is>
          <t>stake*final_odds</t>
        </is>
      </c>
    </row>
    <row r="13">
      <c r="A13" s="23" t="inlineStr">
        <is>
          <t>net_profit</t>
        </is>
      </c>
      <c r="B13" s="9" t="inlineStr">
        <is>
          <t>gross_win-cumulative_cost</t>
        </is>
      </c>
    </row>
    <row r="14">
      <c r="A14" s="23" t="inlineStr">
        <is>
          <t>ROI</t>
        </is>
      </c>
      <c r="B14" s="9" t="inlineStr">
        <is>
          <t>(net_profit/cumulative_cost)*100</t>
        </is>
      </c>
    </row>
    <row r="15">
      <c r="A15" s="23" t="inlineStr">
        <is>
          <t>insurance_refund</t>
        </is>
      </c>
      <c r="B15" s="9" t="inlineStr">
        <is>
          <t>MIN(stake,50)*tabella_assicurazione[N,errori]</t>
        </is>
      </c>
    </row>
    <row r="16">
      <c r="A16" s="23" t="inlineStr">
        <is>
          <t>internal_count</t>
        </is>
      </c>
      <c r="B16" s="9" t="inlineStr">
        <is>
          <t>confermati+pending - SOLO per assicurazione</t>
        </is>
      </c>
    </row>
    <row r="19">
      <c r="A19" s="2" t="inlineStr">
        <is>
          <t>ESEMPIO: Madre 12 eventi, stake=2EUR</t>
        </is>
      </c>
    </row>
    <row r="20">
      <c r="A20" s="3" t="inlineStr">
        <is>
          <t>Parametro</t>
        </is>
      </c>
      <c r="B20" s="3" t="inlineStr">
        <is>
          <t>Valore</t>
        </is>
      </c>
      <c r="C20" s="3" t="inlineStr">
        <is>
          <t>Formula</t>
        </is>
      </c>
    </row>
    <row r="21">
      <c r="A21" s="4" t="inlineStr">
        <is>
          <t>N_eventi_totali</t>
        </is>
      </c>
      <c r="B21" s="8" t="n">
        <v>12</v>
      </c>
      <c r="C21" s="6" t="inlineStr">
        <is>
          <t>Conteggio</t>
        </is>
      </c>
    </row>
    <row r="22">
      <c r="A22" s="4" t="inlineStr">
        <is>
          <t>N_slip</t>
        </is>
      </c>
      <c r="B22" s="8" t="n">
        <v>12</v>
      </c>
      <c r="C22" s="6" t="inlineStr">
        <is>
          <t>Solo pending</t>
        </is>
      </c>
    </row>
    <row r="23">
      <c r="A23" s="4" t="inlineStr">
        <is>
          <t>N_bonus</t>
        </is>
      </c>
      <c r="B23" s="8" t="n">
        <v>12</v>
      </c>
      <c r="C23" s="6" t="inlineStr">
        <is>
          <t>MIN(12,12)</t>
        </is>
      </c>
    </row>
    <row r="24">
      <c r="A24" s="4" t="inlineStr">
        <is>
          <t>underOdds</t>
        </is>
      </c>
      <c r="B24" s="8" t="n">
        <v>1.32</v>
      </c>
      <c r="C24" s="6" t="inlineStr">
        <is>
          <t>Input</t>
        </is>
      </c>
    </row>
    <row r="25">
      <c r="A25" s="4" t="inlineStr">
        <is>
          <t>raw_odds</t>
        </is>
      </c>
      <c r="B25" s="8">
        <f>1.32^C23</f>
        <v/>
      </c>
      <c r="C25" s="6" t="inlineStr">
        <is>
          <t>Formula</t>
        </is>
      </c>
    </row>
    <row r="26">
      <c r="A26" s="4" t="inlineStr">
        <is>
          <t>bonus_pct</t>
        </is>
      </c>
      <c r="B26" s="8" t="n">
        <v>59.4</v>
      </c>
      <c r="C26" s="6" t="inlineStr">
        <is>
          <t>Tabelle</t>
        </is>
      </c>
    </row>
    <row r="27">
      <c r="A27" s="4" t="inlineStr">
        <is>
          <t>final_odds</t>
        </is>
      </c>
      <c r="B27" s="8">
        <f>D24*(1+F23/100)</f>
        <v/>
      </c>
      <c r="C27" s="6" t="inlineStr">
        <is>
          <t>Formula</t>
        </is>
      </c>
    </row>
    <row r="28">
      <c r="A28" s="4" t="inlineStr">
        <is>
          <t>speso_fino_ad_ora</t>
        </is>
      </c>
      <c r="B28" s="8" t="n">
        <v>20</v>
      </c>
      <c r="C28" s="6" t="inlineStr">
        <is>
          <t>Base stake</t>
        </is>
      </c>
    </row>
    <row r="29">
      <c r="A29" s="4" t="inlineStr">
        <is>
          <t>target_profit</t>
        </is>
      </c>
      <c r="B29" s="8" t="n">
        <v>45</v>
      </c>
      <c r="C29" s="6" t="inlineStr">
        <is>
          <t>Input</t>
        </is>
      </c>
    </row>
    <row r="30">
      <c r="A30" s="4" t="inlineStr">
        <is>
          <t>stake</t>
        </is>
      </c>
      <c r="B30" s="8">
        <f>ROUND((H24+I24)/(G24-1),0)</f>
        <v/>
      </c>
      <c r="C30" s="6" t="inlineStr">
        <is>
          <t>Formula</t>
        </is>
      </c>
    </row>
    <row r="31">
      <c r="A31" s="4" t="inlineStr">
        <is>
          <t>gross_win</t>
        </is>
      </c>
      <c r="B31" s="8">
        <f>J24*G24</f>
        <v/>
      </c>
      <c r="C31" s="6" t="inlineStr">
        <is>
          <t>Formula</t>
        </is>
      </c>
    </row>
    <row r="32">
      <c r="A32" s="4" t="inlineStr">
        <is>
          <t>ROI</t>
        </is>
      </c>
      <c r="B32" s="8">
        <f>(K24-J24)/J24*100</f>
        <v/>
      </c>
      <c r="C32" s="6" t="inlineStr">
        <is>
          <t>Formula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2026-09-06T11:22:47Z</dcterms:created>
  <dcterms:modified xmlns:dcterms="http://purl.org/dc/terms/" xmlns:xsi="http://www.w3.org/2001/XMLSchema-instance" xsi:type="dcterms:W3CDTF">2026-09-06T11:22:47Z</dcterms:modified>
</cp:coreProperties>
</file>